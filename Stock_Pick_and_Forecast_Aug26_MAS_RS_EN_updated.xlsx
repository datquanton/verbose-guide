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6" yWindow="0" windowWidth="11712" windowHeight="12336" tabRatio="600" firstSheet="0" activeTab="0" autoFilterDateGrouping="1"/>
  </bookViews>
  <sheets>
    <sheet xmlns:r="http://schemas.openxmlformats.org/officeDocument/2006/relationships" name="Stock Pick" sheetId="1" state="visible" r:id="rId1"/>
    <sheet xmlns:r="http://schemas.openxmlformats.org/officeDocument/2006/relationships" name="Target Price and Forecast" sheetId="2" state="visible" r:id="rId2"/>
    <sheet xmlns:r="http://schemas.openxmlformats.org/officeDocument/2006/relationships" name="Sources &amp; Assumptions" sheetId="3" state="visible" r:id="rId3"/>
  </sheets>
  <definedNames/>
  <calcPr calcId="191028" fullCalcOnLoad="1" iterate="1"/>
</workbook>
</file>

<file path=xl/styles.xml><?xml version="1.0" encoding="utf-8"?>
<styleSheet xmlns="http://schemas.openxmlformats.org/spreadsheetml/2006/main">
  <numFmts count="5">
    <numFmt numFmtId="164" formatCode="0.0%"/>
    <numFmt numFmtId="165" formatCode="#,##0.0"/>
    <numFmt numFmtId="166" formatCode="_(* #,##0_);_(* \(#,##0\);_(* &quot;-&quot;??_);_(@_)"/>
    <numFmt numFmtId="167" formatCode="_(* #,##0.0_);_(* \(#,##0.0\);_(* &quot;-&quot;??_);_(@_)"/>
    <numFmt numFmtId="168" formatCode="#,##0.00\ ;[Red]\(#,##0.00\);&quot;- &quot;;&quot;- &quot;"/>
  </numFmts>
  <fonts count="12">
    <font>
      <name val="Calibri"/>
      <family val="2"/>
      <color theme="1"/>
      <sz val="11"/>
      <scheme val="minor"/>
    </font>
    <font>
      <name val="Calibri"/>
      <family val="2"/>
      <color theme="1"/>
      <sz val="12"/>
      <scheme val="minor"/>
    </font>
    <font>
      <name val="Calibri"/>
      <family val="2"/>
      <color theme="1"/>
      <sz val="11"/>
      <scheme val="minor"/>
    </font>
    <font>
      <name val="Arial"/>
      <family val="2"/>
      <sz val="10"/>
    </font>
    <font>
      <name val="Calibri"/>
      <family val="2"/>
      <sz val="12"/>
      <scheme val="minor"/>
    </font>
    <font>
      <name val="Calibri"/>
      <family val="2"/>
      <b val="1"/>
      <color theme="1"/>
      <sz val="12"/>
      <scheme val="minor"/>
    </font>
    <font>
      <name val="Calibri"/>
      <family val="2"/>
      <sz val="12"/>
    </font>
    <font>
      <name val="Arial"/>
      <b val="1"/>
      <sz val="11"/>
    </font>
    <font>
      <name val="Arial"/>
      <i val="1"/>
      <sz val="9"/>
    </font>
    <font>
      <name val="Arial"/>
      <b val="1"/>
      <sz val="10"/>
    </font>
    <font>
      <name val="Arial"/>
      <sz val="10"/>
    </font>
    <font>
      <name val="Arial"/>
      <color rgb="00C00000"/>
      <sz val="10"/>
    </font>
  </fonts>
  <fills count="8">
    <fill>
      <patternFill/>
    </fill>
    <fill>
      <patternFill patternType="gray125"/>
    </fill>
    <fill>
      <patternFill patternType="solid">
        <fgColor theme="0"/>
        <bgColor indexed="64"/>
      </patternFill>
    </fill>
    <fill>
      <patternFill patternType="solid">
        <fgColor theme="5" tint="0.5999938962981048"/>
        <bgColor indexed="64"/>
      </patternFill>
    </fill>
    <fill>
      <patternFill patternType="solid">
        <fgColor theme="5" tint="0.7999816888943144"/>
        <bgColor indexed="64"/>
      </patternFill>
    </fill>
    <fill>
      <patternFill patternType="solid">
        <fgColor rgb="FFFFFF00"/>
        <bgColor indexed="64"/>
      </patternFill>
    </fill>
    <fill>
      <patternFill patternType="solid">
        <fgColor rgb="00D9D9D9"/>
      </patternFill>
    </fill>
    <fill>
      <patternFill patternType="solid">
        <fgColor rgb="00FFF2CC"/>
      </patternFill>
    </fill>
  </fills>
  <borders count="3">
    <border>
      <left/>
      <right/>
      <top/>
      <bottom/>
      <diagonal/>
    </border>
    <border>
      <left style="thin">
        <color indexed="64"/>
      </left>
      <right style="thin">
        <color indexed="64"/>
      </right>
      <top style="thin">
        <color indexed="64"/>
      </top>
      <bottom style="thin">
        <color indexed="64"/>
      </bottom>
      <diagonal/>
    </border>
    <border>
      <bottom style="thin">
        <color rgb="00BFBFBF"/>
      </bottom>
    </border>
  </borders>
  <cellStyleXfs count="6">
    <xf numFmtId="0" fontId="2" fillId="0" borderId="0"/>
    <xf numFmtId="43" fontId="2" fillId="0" borderId="0"/>
    <xf numFmtId="9" fontId="2" fillId="0" borderId="0"/>
    <xf numFmtId="0" fontId="2" fillId="0" borderId="0"/>
    <xf numFmtId="168" fontId="3" fillId="0" borderId="0"/>
    <xf numFmtId="43" fontId="3" fillId="0" borderId="0"/>
  </cellStyleXfs>
  <cellXfs count="80">
    <xf numFmtId="0" fontId="0" fillId="0" borderId="0" pivotButton="0" quotePrefix="0" xfId="0"/>
    <xf numFmtId="0" fontId="1" fillId="2" borderId="0" pivotButton="0" quotePrefix="0" xfId="0"/>
    <xf numFmtId="0" fontId="1" fillId="2" borderId="0" applyAlignment="1" pivotButton="0" quotePrefix="0" xfId="0">
      <alignment vertical="top"/>
    </xf>
    <xf numFmtId="0" fontId="0" fillId="2" borderId="0" pivotButton="0" quotePrefix="0" xfId="0"/>
    <xf numFmtId="38" fontId="0" fillId="2" borderId="0" pivotButton="0" quotePrefix="0" xfId="0"/>
    <xf numFmtId="0" fontId="5" fillId="3" borderId="1" pivotButton="0" quotePrefix="0" xfId="0"/>
    <xf numFmtId="0" fontId="1" fillId="4" borderId="0" pivotButton="0" quotePrefix="0" xfId="0"/>
    <xf numFmtId="0" fontId="1" fillId="2" borderId="1" applyAlignment="1" pivotButton="0" quotePrefix="0" xfId="0">
      <alignment vertical="top"/>
    </xf>
    <xf numFmtId="0" fontId="1" fillId="2" borderId="1" applyAlignment="1" pivotButton="0" quotePrefix="1" xfId="0">
      <alignment vertical="top" wrapText="1"/>
    </xf>
    <xf numFmtId="3" fontId="1" fillId="2" borderId="1" applyAlignment="1" pivotButton="0" quotePrefix="0" xfId="1">
      <alignment horizontal="right" vertical="top"/>
    </xf>
    <xf numFmtId="164" fontId="1" fillId="2" borderId="1" applyAlignment="1" pivotButton="0" quotePrefix="0" xfId="2">
      <alignment horizontal="right" vertical="top"/>
    </xf>
    <xf numFmtId="165" fontId="1" fillId="2" borderId="1" applyAlignment="1" pivotButton="0" quotePrefix="0" xfId="0">
      <alignment horizontal="right" vertical="top"/>
    </xf>
    <xf numFmtId="166" fontId="1" fillId="2" borderId="1" applyAlignment="1" pivotButton="0" quotePrefix="0" xfId="1">
      <alignment horizontal="right" vertical="top"/>
    </xf>
    <xf numFmtId="0" fontId="1" fillId="2" borderId="1" applyAlignment="1" pivotButton="0" quotePrefix="0" xfId="0">
      <alignment wrapText="1"/>
    </xf>
    <xf numFmtId="3" fontId="1" fillId="2" borderId="1" pivotButton="0" quotePrefix="0" xfId="0"/>
    <xf numFmtId="38" fontId="1" fillId="2" borderId="1" pivotButton="0" quotePrefix="0" xfId="0"/>
    <xf numFmtId="0" fontId="4" fillId="2" borderId="1" applyAlignment="1" pivotButton="0" quotePrefix="1" xfId="0">
      <alignment vertical="top" wrapText="1"/>
    </xf>
    <xf numFmtId="10" fontId="4" fillId="2" borderId="1" applyAlignment="1" pivotButton="0" quotePrefix="1" xfId="0">
      <alignment vertical="top" wrapText="1"/>
    </xf>
    <xf numFmtId="3" fontId="4" fillId="2" borderId="1" applyAlignment="1" pivotButton="0" quotePrefix="1" xfId="0">
      <alignment vertical="top" wrapText="1"/>
    </xf>
    <xf numFmtId="0" fontId="1" fillId="0" borderId="1" applyAlignment="1" pivotButton="0" quotePrefix="0" xfId="0">
      <alignment wrapText="1"/>
    </xf>
    <xf numFmtId="3" fontId="1" fillId="0" borderId="1" pivotButton="0" quotePrefix="0" xfId="0"/>
    <xf numFmtId="38" fontId="1" fillId="0" borderId="1" pivotButton="0" quotePrefix="0" xfId="0"/>
    <xf numFmtId="0" fontId="4" fillId="2" borderId="0" applyAlignment="1" pivotButton="0" quotePrefix="0" xfId="0">
      <alignment vertical="top"/>
    </xf>
    <xf numFmtId="0" fontId="4" fillId="2" borderId="1" applyAlignment="1" pivotButton="0" quotePrefix="0" xfId="0">
      <alignment vertical="top"/>
    </xf>
    <xf numFmtId="164" fontId="4" fillId="2" borderId="1" applyAlignment="1" pivotButton="0" quotePrefix="0" xfId="2">
      <alignment horizontal="right" vertical="top"/>
    </xf>
    <xf numFmtId="165" fontId="4" fillId="2" borderId="1" applyAlignment="1" pivotButton="0" quotePrefix="0" xfId="0">
      <alignment horizontal="right" vertical="top"/>
    </xf>
    <xf numFmtId="0" fontId="6" fillId="2" borderId="1" applyAlignment="1" pivotButton="0" quotePrefix="0" xfId="0">
      <alignment vertical="top"/>
    </xf>
    <xf numFmtId="0" fontId="6" fillId="2" borderId="1" applyAlignment="1" pivotButton="0" quotePrefix="1" xfId="0">
      <alignment vertical="top" wrapText="1"/>
    </xf>
    <xf numFmtId="166" fontId="6" fillId="2" borderId="1" applyAlignment="1" pivotButton="0" quotePrefix="0" xfId="1">
      <alignment horizontal="center" vertical="top"/>
    </xf>
    <xf numFmtId="164" fontId="6" fillId="2" borderId="1" applyAlignment="1" pivotButton="0" quotePrefix="0" xfId="0">
      <alignment horizontal="right" vertical="top"/>
    </xf>
    <xf numFmtId="167" fontId="6" fillId="2" borderId="1" applyAlignment="1" pivotButton="0" quotePrefix="0" xfId="1">
      <alignment horizontal="right" vertical="top"/>
    </xf>
    <xf numFmtId="0" fontId="4" fillId="2" borderId="0" pivotButton="0" quotePrefix="0" xfId="0"/>
    <xf numFmtId="0" fontId="1" fillId="5" borderId="1" applyAlignment="1" pivotButton="0" quotePrefix="0" xfId="0">
      <alignment vertical="top"/>
    </xf>
    <xf numFmtId="10" fontId="1" fillId="5" borderId="1" applyAlignment="1" pivotButton="0" quotePrefix="1" xfId="0">
      <alignment vertical="top" wrapText="1"/>
    </xf>
    <xf numFmtId="3" fontId="1" fillId="5" borderId="1" applyAlignment="1" pivotButton="0" quotePrefix="1" xfId="0">
      <alignment vertical="top" wrapText="1"/>
    </xf>
    <xf numFmtId="0" fontId="1" fillId="5" borderId="1" applyAlignment="1" pivotButton="0" quotePrefix="1" xfId="0">
      <alignment vertical="top" wrapText="1"/>
    </xf>
    <xf numFmtId="3" fontId="1" fillId="5" borderId="1" applyAlignment="1" pivotButton="0" quotePrefix="0" xfId="1">
      <alignment horizontal="right" vertical="top"/>
    </xf>
    <xf numFmtId="164" fontId="1" fillId="5" borderId="1" applyAlignment="1" pivotButton="0" quotePrefix="0" xfId="2">
      <alignment horizontal="right" vertical="top"/>
    </xf>
    <xf numFmtId="165" fontId="1" fillId="5" borderId="1" applyAlignment="1" pivotButton="0" quotePrefix="0" xfId="0">
      <alignment horizontal="right" vertical="top"/>
    </xf>
    <xf numFmtId="0" fontId="1" fillId="5" borderId="0" applyAlignment="1" pivotButton="0" quotePrefix="0" xfId="0">
      <alignment vertical="top"/>
    </xf>
    <xf numFmtId="166" fontId="4" fillId="2" borderId="1" applyAlignment="1" pivotButton="0" quotePrefix="0" xfId="1">
      <alignment horizontal="right" vertical="top"/>
    </xf>
    <xf numFmtId="10" fontId="4" fillId="5" borderId="1" applyAlignment="1" pivotButton="0" quotePrefix="1" xfId="0">
      <alignment vertical="top" wrapText="1"/>
    </xf>
    <xf numFmtId="49" fontId="4" fillId="5" borderId="1" applyAlignment="1" pivotButton="0" quotePrefix="0" xfId="1">
      <alignment vertical="top" wrapText="1"/>
    </xf>
    <xf numFmtId="166" fontId="1" fillId="5" borderId="1" applyAlignment="1" pivotButton="0" quotePrefix="0" xfId="1">
      <alignment horizontal="right" vertical="top"/>
    </xf>
    <xf numFmtId="0" fontId="6" fillId="5" borderId="1" applyAlignment="1" pivotButton="0" quotePrefix="0" xfId="0">
      <alignment vertical="top"/>
    </xf>
    <xf numFmtId="3" fontId="4" fillId="5" borderId="1" applyAlignment="1" pivotButton="0" quotePrefix="1" xfId="0">
      <alignment vertical="top" wrapText="1"/>
    </xf>
    <xf numFmtId="49" fontId="4" fillId="5" borderId="1" applyAlignment="1" pivotButton="0" quotePrefix="1" xfId="1">
      <alignment vertical="top" wrapText="1"/>
    </xf>
    <xf numFmtId="0" fontId="4" fillId="5" borderId="1" applyAlignment="1" pivotButton="0" quotePrefix="0" xfId="0">
      <alignment vertical="top"/>
    </xf>
    <xf numFmtId="0" fontId="4" fillId="5" borderId="1" applyAlignment="1" pivotButton="0" quotePrefix="1" xfId="0">
      <alignment vertical="top" wrapText="1"/>
    </xf>
    <xf numFmtId="3" fontId="4" fillId="5" borderId="1" applyAlignment="1" pivotButton="0" quotePrefix="0" xfId="1">
      <alignment horizontal="right" vertical="top"/>
    </xf>
    <xf numFmtId="164" fontId="4" fillId="5" borderId="1" applyAlignment="1" pivotButton="0" quotePrefix="0" xfId="2">
      <alignment horizontal="right" vertical="top"/>
    </xf>
    <xf numFmtId="165" fontId="4" fillId="5" borderId="1" applyAlignment="1" pivotButton="0" quotePrefix="0" xfId="0">
      <alignment horizontal="right" vertical="top"/>
    </xf>
    <xf numFmtId="0" fontId="4" fillId="5" borderId="0" applyAlignment="1" pivotButton="0" quotePrefix="0" xfId="0">
      <alignment vertical="top"/>
    </xf>
    <xf numFmtId="166" fontId="6" fillId="2" borderId="1" applyAlignment="1" pivotButton="0" quotePrefix="0" xfId="1">
      <alignment horizontal="center" vertical="top"/>
    </xf>
    <xf numFmtId="164" fontId="6" fillId="2" borderId="1" applyAlignment="1" pivotButton="0" quotePrefix="0" xfId="0">
      <alignment horizontal="right" vertical="top"/>
    </xf>
    <xf numFmtId="167" fontId="6" fillId="2" borderId="1" applyAlignment="1" pivotButton="0" quotePrefix="0" xfId="1">
      <alignment horizontal="right" vertical="top"/>
    </xf>
    <xf numFmtId="164" fontId="1" fillId="2" borderId="1" applyAlignment="1" pivotButton="0" quotePrefix="0" xfId="2">
      <alignment horizontal="right" vertical="top"/>
    </xf>
    <xf numFmtId="165" fontId="1" fillId="2" borderId="1" applyAlignment="1" pivotButton="0" quotePrefix="0" xfId="0">
      <alignment horizontal="right" vertical="top"/>
    </xf>
    <xf numFmtId="166" fontId="1" fillId="5" borderId="1" applyAlignment="1" pivotButton="0" quotePrefix="0" xfId="1">
      <alignment horizontal="right" vertical="top"/>
    </xf>
    <xf numFmtId="164" fontId="1" fillId="5" borderId="1" applyAlignment="1" pivotButton="0" quotePrefix="0" xfId="2">
      <alignment horizontal="right" vertical="top"/>
    </xf>
    <xf numFmtId="165" fontId="1" fillId="5" borderId="1" applyAlignment="1" pivotButton="0" quotePrefix="0" xfId="0">
      <alignment horizontal="right" vertical="top"/>
    </xf>
    <xf numFmtId="166" fontId="4" fillId="2" borderId="1" applyAlignment="1" pivotButton="0" quotePrefix="0" xfId="1">
      <alignment horizontal="right" vertical="top"/>
    </xf>
    <xf numFmtId="164" fontId="4" fillId="2" borderId="1" applyAlignment="1" pivotButton="0" quotePrefix="0" xfId="2">
      <alignment horizontal="right" vertical="top"/>
    </xf>
    <xf numFmtId="165" fontId="4" fillId="2" borderId="1" applyAlignment="1" pivotButton="0" quotePrefix="0" xfId="0">
      <alignment horizontal="right" vertical="top"/>
    </xf>
    <xf numFmtId="0" fontId="4" fillId="2" borderId="1" applyAlignment="1" pivotButton="0" quotePrefix="0" xfId="1">
      <alignment vertical="top" wrapText="1"/>
    </xf>
    <xf numFmtId="164" fontId="4" fillId="5" borderId="1" applyAlignment="1" pivotButton="0" quotePrefix="0" xfId="2">
      <alignment horizontal="right" vertical="top"/>
    </xf>
    <xf numFmtId="165" fontId="4" fillId="5" borderId="1" applyAlignment="1" pivotButton="0" quotePrefix="0" xfId="0">
      <alignment horizontal="right" vertical="top"/>
    </xf>
    <xf numFmtId="166" fontId="1" fillId="2" borderId="1" applyAlignment="1" pivotButton="0" quotePrefix="0" xfId="1">
      <alignment horizontal="right" vertical="top"/>
    </xf>
    <xf numFmtId="0" fontId="7" fillId="0" borderId="0" pivotButton="0" quotePrefix="0" xfId="0"/>
    <xf numFmtId="0" fontId="8" fillId="0" borderId="0" applyAlignment="1" pivotButton="0" quotePrefix="0" xfId="0">
      <alignment vertical="top" wrapText="1"/>
    </xf>
    <xf numFmtId="0" fontId="9" fillId="6" borderId="2" pivotButton="0" quotePrefix="0" xfId="0"/>
    <xf numFmtId="0" fontId="10" fillId="6" borderId="0" pivotButton="0" quotePrefix="0" xfId="0"/>
    <xf numFmtId="0" fontId="9" fillId="6" borderId="0" pivotButton="0" quotePrefix="0" xfId="0"/>
    <xf numFmtId="0" fontId="10" fillId="0" borderId="0" pivotButton="0" quotePrefix="0" xfId="0"/>
    <xf numFmtId="0" fontId="10" fillId="0" borderId="0" applyAlignment="1" pivotButton="0" quotePrefix="0" xfId="0">
      <alignment vertical="top" wrapText="1"/>
    </xf>
    <xf numFmtId="0" fontId="10" fillId="7" borderId="0" pivotButton="0" quotePrefix="0" xfId="0"/>
    <xf numFmtId="0" fontId="10" fillId="7" borderId="0" applyAlignment="1" pivotButton="0" quotePrefix="0" xfId="0">
      <alignment vertical="top" wrapText="1"/>
    </xf>
    <xf numFmtId="0" fontId="9" fillId="0" borderId="0" pivotButton="0" quotePrefix="0" xfId="0"/>
    <xf numFmtId="0" fontId="9" fillId="0" borderId="0" applyAlignment="1" pivotButton="0" quotePrefix="0" xfId="0">
      <alignment vertical="top" wrapText="1"/>
    </xf>
    <xf numFmtId="0" fontId="11" fillId="0" borderId="0" applyAlignment="1" pivotButton="0" quotePrefix="0" xfId="0">
      <alignment vertical="top" wrapText="1"/>
    </xf>
  </cellXfs>
  <cellStyles count="6">
    <cellStyle name="Normal" xfId="0" builtinId="0"/>
    <cellStyle name="Comma" xfId="1" builtinId="3"/>
    <cellStyle name="Percent" xfId="2" builtinId="5"/>
    <cellStyle name="Normal 5" xfId="3"/>
    <cellStyle name="Normal 4" xfId="4"/>
    <cellStyle name="Comma 25" xf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MAS Research</author>
  </authors>
  <commentList>
    <comment ref="F7" authorId="0" shapeId="0">
      <text>
        <t>Per senior-manager review 27/07/26: FPT Telecom associate income +15% p.a. (Scenarios I45/J45); Domestic IT FY26F set to +14.0% (Scenarios H17) with headcount held at 45,000 - NPATMI therefore lands at +15.6% rather than +15.0%. TP 78,750 = +25% on ~VND63,000; Valuation sheet held at that TP via ERP 8.97% and terminal g 1.5%.</t>
      </text>
    </comment>
    <comment ref="H7" authorId="0" shapeId="0">
      <text>
        <t>Base: FY25 NPATMI VND9,464bn (FPT_2Q26_min_final.xlsx, Report!G20). NPATMI/EPS share base 1,810mn (model).</t>
      </text>
    </comment>
    <comment ref="F9" authorId="0" shapeId="0">
      <text>
        <t>FY26F: revenue 5% above the 2026 plan (10,132 -&gt; 10,639); NPATMI 2% above plan (5,375 -&gt; 5,483), implying ~150bp net-margin dilution vs plan. FY27F set at +20% YoY (6,580), consistent with VRE's underlying mid-to-high-teens rate; prior 7,194 (+31%) required ~VND13.6tn revenue or a record ~58% margin. Col H growth is vs reported FY25 NPAT (6,367) for cross-ticker consistency; vs adjusted FY25 (4,694) FY26F is +16.8%. Multiples at TP 28,000; shares 2,328.8mn. NOTE: BVPS 26F/27F (22,798/25,513) come from the VRE model's balance sheet, which embeds lower earnings than these overridden forecasts - P/B is therefore modestly overstated.</t>
      </text>
    </comment>
    <comment ref="G9" authorId="0" shapeId="0">
      <text>
        <t>FY27F +20% is driver-based, not trend: (i) FY26 mall openings (Wonder City ~27,000 sqm 3Q26; J-Town My Lam 4Q26) annualise, plus Vincom Mega Mall Long An in 2027; (ii) shophouse handovers at Vinhomes Royal Island (~1,000 units) and Golden Avenue (~280 units) - VND5,480bn deposited end-2024 for ~109,800 sqm, ~45% gross margin - which management guides as a new driver from 2027 (only ~1.5-2% of FY26 revenue). Corroborated by MBS: FY27 revenue 13,213 / NPAT 6,502 (+19.2%). Sources: VRE 2026 AGM (23/04/26), CafeF 10/10/25, MarketTimes.</t>
      </text>
    </comment>
    <comment ref="H9" authorId="0" shapeId="0">
      <text>
        <t>Base: FY25 NPAT VND6,367bn per VRE model (reported FY25 NPAT VND6,446bn incl. one-offs; adjusted FY25 NPAT VND4,694bn → +12.9%).</t>
      </text>
    </comment>
    <comment ref="L9" authorId="0" shapeId="0">
      <text>
        <t>BVPS 2026F/27F: VND22,798/VND25,513 (VRE_1Q26_v2_linked2.xlsx, BS row 136); shares 2,328.8mn.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R15"/>
  <sheetViews>
    <sheetView tabSelected="1" zoomScale="40" zoomScaleNormal="40" workbookViewId="0">
      <pane xSplit="2" ySplit="2" topLeftCell="C11" activePane="bottomRight" state="frozen"/>
      <selection pane="topRight" activeCell="C1" sqref="C1"/>
      <selection pane="bottomLeft" activeCell="A3" sqref="A3"/>
      <selection pane="bottomRight" activeCell="C12" sqref="C12"/>
    </sheetView>
  </sheetViews>
  <sheetFormatPr baseColWidth="8" defaultColWidth="9" defaultRowHeight="15.6"/>
  <cols>
    <col width="4.6640625" customWidth="1" style="1" min="1" max="1"/>
    <col width="10" customWidth="1" style="1" min="2" max="2"/>
    <col width="96.5546875" customWidth="1" style="1" min="3" max="3"/>
    <col width="70.109375" customWidth="1" style="1" min="4" max="4"/>
    <col width="90.6640625" customWidth="1" style="1" min="5" max="5"/>
    <col width="23.44140625" bestFit="1" customWidth="1" style="1" min="6" max="7"/>
    <col width="22.5546875" bestFit="1" customWidth="1" style="1" min="8" max="9"/>
    <col width="14.21875" customWidth="1" style="1" min="10" max="13"/>
    <col width="16.33203125" customWidth="1" style="1" min="14" max="20"/>
    <col width="9" customWidth="1" style="1" min="21" max="16384"/>
  </cols>
  <sheetData>
    <row r="1">
      <c r="J1" s="6" t="inlineStr">
        <is>
          <t>P/E and P/B ratios are calculated using target prices</t>
        </is>
      </c>
      <c r="K1" s="6" t="n"/>
      <c r="L1" s="6" t="n"/>
      <c r="M1" s="6" t="n"/>
    </row>
    <row r="2">
      <c r="A2" s="5" t="n"/>
      <c r="B2" s="5" t="inlineStr">
        <is>
          <t>Ticker</t>
        </is>
      </c>
      <c r="C2" s="5" t="inlineStr">
        <is>
          <t>Growth</t>
        </is>
      </c>
      <c r="D2" s="5" t="inlineStr">
        <is>
          <t>Valuation</t>
        </is>
      </c>
      <c r="E2" s="5" t="inlineStr">
        <is>
          <t>Catalyst</t>
        </is>
      </c>
      <c r="F2" s="5" t="inlineStr">
        <is>
          <t>2026F NPATMI (VNDbn)</t>
        </is>
      </c>
      <c r="G2" s="5" t="inlineStr">
        <is>
          <t>2027F NPATMI (VNDbn)</t>
        </is>
      </c>
      <c r="H2" s="5" t="inlineStr">
        <is>
          <t>2026F NPATMI Growth</t>
        </is>
      </c>
      <c r="I2" s="5" t="inlineStr">
        <is>
          <t>2027F NPATMI Growth</t>
        </is>
      </c>
      <c r="J2" s="5" t="inlineStr">
        <is>
          <t>2026F P/E</t>
        </is>
      </c>
      <c r="K2" s="5" t="inlineStr">
        <is>
          <t>2027F P/E</t>
        </is>
      </c>
      <c r="L2" s="5" t="inlineStr">
        <is>
          <t>2026F P/B</t>
        </is>
      </c>
      <c r="M2" s="5" t="inlineStr">
        <is>
          <t>2027F P/B</t>
        </is>
      </c>
    </row>
    <row r="3" ht="150" customFormat="1" customHeight="1" s="31">
      <c r="A3" s="26" t="n">
        <v>1</v>
      </c>
      <c r="B3" s="26" t="inlineStr">
        <is>
          <t>HPG</t>
        </is>
      </c>
      <c r="C3" s="27" t="inlineStr">
        <is>
          <t>- Solid sales volumes, together with HRC prices up 20% YTD and widening steel spreads, suggest HPG is on track to achieve its 41.8% net profit growth target.
- 2Q26 preview: We look for steel sales of VND57.4tn (+71% YoY) which assumes +24% volume growth and +38% higher realized prices. Steel OP is expected at VND5.9tn (+47% YoY), with OP-per-ton +19% YoY. During the April–June 2026 period, local HRC prices reached a two-year high (Apr/May/Jun: flat/+5%/+15% vs. Mar-26), while HPG ran its crude steel facilities at a 1.2mn tons/month pace, equivalent to full utilization. Overall, we forecast 2Q26 NPAT of VND5,056bn (-44% QoQ; +19% YoY).</t>
        </is>
      </c>
      <c r="D3" s="27" t="inlineStr">
        <is>
          <t>TP: VND31,800/share 
- HPG is traded at 1.33x forward P/B versus its 5-year median of 1.7x</t>
        </is>
      </c>
      <c r="E3" s="27" t="inlineStr">
        <is>
          <t>- HPG’s 33% domestic construction steel market share leaves the company well positioned within Vietnam’s policy-supported public capex and residential construction cycle. For HRC, the additional capacity is ramping up well through market share gains from Formosa and imports, a trend we expect to continue.
- Recent developments surrounding HPG’s affiliate acquisition of the Quy Xa iron ore mine (120mn tons of reserves), combined with the company’s participation in the mega Red River project, could provide sentiment support.</t>
        </is>
      </c>
      <c r="F3" s="53" t="n">
        <v>23046</v>
      </c>
      <c r="G3" s="53" t="n">
        <v>25517</v>
      </c>
      <c r="H3" s="54" t="n">
        <v>0.4894623193624239</v>
      </c>
      <c r="I3" s="54" t="n">
        <v>0.1071804488767083</v>
      </c>
      <c r="J3" s="55" t="n">
        <v>11.64958082314386</v>
      </c>
      <c r="K3" s="55" t="n">
        <v>10.52183736700297</v>
      </c>
      <c r="L3" s="55" t="n">
        <v>1.784076572645364</v>
      </c>
      <c r="M3" s="55" t="n">
        <v>1.601631859952076</v>
      </c>
      <c r="N3" s="22" t="n"/>
      <c r="O3" s="22" t="n"/>
      <c r="P3" s="22" t="n"/>
      <c r="Q3" s="22" t="n"/>
      <c r="R3" s="22" t="n"/>
      <c r="S3" s="22" t="n"/>
      <c r="T3" s="22" t="n"/>
      <c r="U3" s="22" t="n"/>
      <c r="V3" s="22" t="n"/>
      <c r="W3" s="22" t="n"/>
      <c r="X3" s="22" t="n"/>
      <c r="Y3" s="22" t="n"/>
      <c r="Z3" s="22" t="n"/>
      <c r="AA3" s="22" t="n"/>
      <c r="AB3" s="22" t="n"/>
      <c r="AC3" s="22" t="n"/>
      <c r="AD3" s="22" t="n"/>
      <c r="AE3" s="22" t="n"/>
      <c r="AF3" s="22" t="n"/>
      <c r="AG3" s="22" t="n"/>
      <c r="AH3" s="22" t="n"/>
      <c r="AI3" s="22" t="n"/>
      <c r="AJ3" s="22" t="n"/>
      <c r="AK3" s="22" t="n"/>
      <c r="AL3" s="22" t="n"/>
      <c r="AM3" s="22" t="n"/>
      <c r="AN3" s="22" t="n"/>
      <c r="AO3" s="22" t="n"/>
      <c r="AP3" s="22" t="n"/>
      <c r="AQ3" s="22" t="n"/>
      <c r="AR3" s="22" t="n"/>
    </row>
    <row r="4" ht="335.4" customFormat="1" customHeight="1" s="2">
      <c r="A4" s="7" t="n">
        <v>2</v>
      </c>
      <c r="B4" s="7" t="inlineStr">
        <is>
          <t>VCB</t>
        </is>
      </c>
      <c r="C4" s="17" t="inlineStr">
        <is>
          <t>-Credit growth in 2025 reached ~15.3%, broadly in line with our forecast. For 2026, we revise our credit growth assumption down to slightly above 13.5% YoY (–0.3%p vs. the previous forecast), reflecting a more cautious stance amid lower CAR and a high LDR in FY25.
Following these revisions: 
1/ NII is projected to grow 17.3% YoY (+2.1% vs. prior forecast), driven by a 9bps NIM expansion (+3bps vs. previous estimate), supported by strong mortgage (FY25: +20.2% YoY) and personal loan growth (FY25/26F: +17.3%/+14.3% YoY) in 2025–26; 
2/NSI is revised down 8.5% vs. prior forecast but still expected to grow 10.7% YoY; 
3/ NOI is adjusted up 19.4% vs. previous projection, reflecting stronger-than-expected recovery and sizable write-offs in 2025 (+36% YoY), improving the earnings base; and 
4/ Provisioning expenses are revised up materially (+57% vs. the previous forecast), as additional provisions may be required for HTM securities. VCB previously recorded minimal specific provisioning, while NPL formation is expected to pick up amid a higher-rate environment. 
Accordingly, 2026 PBT is revised down 3.1% vs. prior forecast but still expected to grow 8.7% YoY (high single-digit).
Upside risks remain tied to provisioning dynamics. Historical front-loaded provisions for interbank exposures have been reversed in subsequent years. Currently, roughly half of corporate bonds in the HTM book are classified as Group 4. If the quality of corporate bond portfolios turns out better than expected, shifts in provisioning dynamics could potentially distort the earnings trajectory.</t>
        </is>
      </c>
      <c r="D4" s="18" t="inlineStr">
        <is>
          <t>TP: VND68,200/share
- We revise our TP to VND68,200/share (from VND73,000), reflecting both increased macro uncertainty and a downgrade to earnings forecasts. 
- The market has begun to re-rate stocks trading at premium valuations, prompting us to lower our valuation premium for VCB to +10% (from +20%), despite its superior asset quality and stable profitability. 
- The revised valuation implies approximately 2.21x P/B, close to –1std from its long-term trading average.</t>
        </is>
      </c>
      <c r="E4" s="8" t="inlineStr">
        <is>
          <t>- VCB’s growth profile remains steady rather than aggressive, with credit expansion moderating but supported by retail and large-corporate momentum, while profitability stays resilient thanks to diversified income streams and consistently high asset quality — a particularly valuable strength in a rising-rate environment where caution is warranted and a tilt toward safer banks is far from overreacted. 
- Main pitches include sustained FX-income growth amid export diversification, visibility on the planned 6.5% private placement, and continued stability in asset quality and credit costs.</t>
        </is>
      </c>
      <c r="F4" s="9" t="n">
        <v>38246.56427006696</v>
      </c>
      <c r="G4" s="9" t="n">
        <v>44627.02148934672</v>
      </c>
      <c r="H4" s="56" t="n">
        <v>0.08722484934377528</v>
      </c>
      <c r="I4" s="56" t="n">
        <v>0.1668243237281661</v>
      </c>
      <c r="J4" s="57" t="n">
        <v>14.9</v>
      </c>
      <c r="K4" s="57" t="n">
        <v>12.8</v>
      </c>
      <c r="L4" s="57" t="n">
        <v>2.2</v>
      </c>
      <c r="M4" s="57" t="n">
        <v>1.9</v>
      </c>
    </row>
    <row r="5" ht="167.4" customFormat="1" customHeight="1" s="39">
      <c r="A5" s="44" t="n">
        <v>3</v>
      </c>
      <c r="B5" s="32" t="inlineStr">
        <is>
          <t>BID</t>
        </is>
      </c>
      <c r="C5" s="33" t="n"/>
      <c r="D5" s="34" t="n"/>
      <c r="E5" s="45" t="n"/>
      <c r="F5" s="58" t="n"/>
      <c r="G5" s="58" t="n"/>
      <c r="H5" s="59" t="n"/>
      <c r="I5" s="59" t="n"/>
      <c r="J5" s="60" t="n"/>
      <c r="K5" s="60" t="n"/>
      <c r="L5" s="60" t="n"/>
      <c r="M5" s="60" t="n"/>
    </row>
    <row r="6" ht="119.4" customFormat="1" customHeight="1" s="22">
      <c r="A6" s="7" t="n">
        <v>4</v>
      </c>
      <c r="B6" s="23" t="inlineStr">
        <is>
          <t>STB</t>
        </is>
      </c>
      <c r="C6" s="17" t="inlineStr">
        <is>
          <t>- We forecast NII at VND27,010bn (+1.2% YoY), supported by 11.7% credit growth, with corporate lending remaining the key growth engine. 
- NIM is expected to trough at 2.94% (-38bps YoY) in FY26F as elevated NPLs freeze accrued interest income while funding costs remain sticky, before recovering to 3.15% (+21bps YoY) in FY27F. 
- Our FY26F NPL assumption of 4.5% (-1.9%p YoY) requires aggressive write-offs and collateral recovery.</t>
        </is>
      </c>
      <c r="D6" s="16" t="inlineStr">
        <is>
          <t>TP: VND77,500/share
Target P/B is expected to reach~2.4x in 2026F on earnings growth and book value catch-up.</t>
        </is>
      </c>
      <c r="E6" s="16" t="inlineStr">
        <is>
          <t>- Loan growth and balance-sheet momentum should remain intact in FY26.
- Further re-rating requires clearer progress in NPL resolution and restructuring completion.</t>
        </is>
      </c>
      <c r="F6" s="61" t="n">
        <v>6583</v>
      </c>
      <c r="G6" s="61" t="n">
        <v>12311</v>
      </c>
      <c r="H6" s="62" t="n">
        <v>0.1084357635965651</v>
      </c>
      <c r="I6" s="62" t="n">
        <v>0.8701200060762571</v>
      </c>
      <c r="J6" s="63" t="n">
        <v>24.3</v>
      </c>
      <c r="K6" s="63" t="n">
        <v>13</v>
      </c>
      <c r="L6" s="63" t="n">
        <v>2.421789883268482</v>
      </c>
      <c r="M6" s="63" t="n">
        <v>2.037075827398408</v>
      </c>
    </row>
    <row r="7" ht="379.2" customFormat="1" customHeight="1" s="39">
      <c r="A7" s="44" t="n">
        <v>5</v>
      </c>
      <c r="B7" s="32" t="inlineStr">
        <is>
          <t>FPT</t>
        </is>
      </c>
      <c r="C7" s="17" t="inlineStr">
        <is>
          <t>1H26 (cumulative): revenue VND26,269bn (+12.6% YoY); PBT VND5,714bn (+18.1% YoY) — 45% of the FY26 revenue plan and 49% of the PBT plan. Technology led: segment revenue VND23,138bn (+15% YoY; 88% of group revenue; Global IT +13.4%, Domestic IT +22.5%), segment PBT VND3,314bn (+16.9% YoY).
2Q26 alone: revenue VND13,789bn; PBT VND2,910bn (vs VND12,480bn / VND2,804bn in 1Q26); NPATMI VND2,568bn (+14% YoY).
We forecast FY26F NPATMI of VND10,943bn (+15.6% YoY), FY27F VND12,518bn (+14.4% YoY) and FY28F VND14,156bn (+13.1% YoY), with FPT Telecom associate income assumed to grow ~15% p.a. FY26F assumptions: Domestic IT +14.0%, Global IT +14.4% (US trimmed to +5.9% on bid-price competition; Japan +22%, EU +18% intact), Education ~+5%.</t>
        </is>
      </c>
      <c r="D7" s="64" t="inlineStr">
        <is>
          <t>TP: VND78,750/share
- DCF (FCFF)-based; revised down from VND91,570.
- Set at a 25% premium to the current price of ~VND63,000; at TP, FPT trades at 13.0x 2026F P/E vs a 5-year median above 18x.
- Discount-rate assumptions raised: equity risk premium 7.8% -&gt; 8.9% and terminal growth 2.5% -&gt; 1.5%, reflecting AI-disruption risk to IT-services pricing.</t>
        </is>
      </c>
      <c r="E7" s="16" t="inlineStr">
        <is>
          <t>- Government digitalization is the standout driver: Domestic IT grew +22.5% YoY in 6M26 with segment PBT doubling, on public-sector wins under the national digital-transformation programme — a multi-year pipeline insulated from the global IT-spending cycle.
- AI/digital-transformation demand underpins a Global IT reacceleration (FY27F: +16.7% YoY), led by Japan (+22%) and the EU (+18%).
- Education capacity (Hue complex) and data-center expansion provide medium-term optionality.
- Risks: soft US/global IT spending, tariff-related deal delays, JPY/USD FX swings.</t>
        </is>
      </c>
      <c r="F7" s="61" t="n">
        <v>10943</v>
      </c>
      <c r="G7" s="61" t="n">
        <v>12518</v>
      </c>
      <c r="H7" s="62" t="n">
        <v>0.1563010506263802</v>
      </c>
      <c r="I7" s="62" t="n">
        <v>0.1438998598283892</v>
      </c>
      <c r="J7" s="63" t="n">
        <v>13.02516403862665</v>
      </c>
      <c r="K7" s="63" t="n">
        <v>11.38662963083212</v>
      </c>
      <c r="L7" s="63" t="n">
        <v>3.13626652256712</v>
      </c>
      <c r="M7" s="63" t="n">
        <v>2.653241138973259</v>
      </c>
    </row>
    <row r="8" ht="128.4" customFormat="1" customHeight="1" s="39">
      <c r="A8" s="32" t="n">
        <v>6</v>
      </c>
      <c r="B8" s="32" t="inlineStr">
        <is>
          <t>VNM</t>
        </is>
      </c>
      <c r="C8" s="41" t="n"/>
      <c r="D8" s="46" t="n"/>
      <c r="E8" s="35" t="n"/>
      <c r="F8" s="58" t="n"/>
      <c r="G8" s="58" t="n"/>
      <c r="H8" s="59" t="n"/>
      <c r="I8" s="59" t="n"/>
      <c r="J8" s="60" t="n"/>
      <c r="K8" s="60" t="n"/>
      <c r="L8" s="60" t="n"/>
      <c r="M8" s="60" t="n"/>
    </row>
    <row r="9" ht="110.4" customFormat="1" customHeight="1" s="39">
      <c r="A9" s="44" t="n">
        <v>7</v>
      </c>
      <c r="B9" s="32" t="inlineStr">
        <is>
          <t>VRE</t>
        </is>
      </c>
      <c r="C9" s="17" t="inlineStr">
        <is>
          <t>FY25 NPAT hit a record VND6,446bn (+57.3% YoY), flattered by one-off financial income (chiefly the Vincom Center Nguyen Chi Thanh stake transfer); on an adjusted basis NPAT was VND4,694bn (+16.3% YoY). FY25 net revenue was VND8,712bn, with leasing revenue of VND8,400bn (+8.3% YoY). Momentum carried into 1Q26: net revenue VND2,574bn (+20.7% YoY) and NPAT VND1,606bn (+36.4% YoY).
We forecast FY26F net revenue VND10,639bn (~5% above the VND10,132bn plan) but NPATMI of VND5,483bn only ~2% above the VND5,375bn target — i.e. +22.1% on FY25 revenue and +16.8% on adjusted FY25 NPAT (-13.9% against the one-off-inflated reported FY25 NPAT). The narrower profit beat reflects a net margin of 51.5% vs the ~53.0% implied by plan (~150bp dilution), as pre-operating costs and depreciation on newly opened GFA land ahead of full occupancy.
FY27F NPATMI VND6,196bn (+13.0% YoY) rests on two identifiable drivers rather than trend growth, with the property leg deliberately haircut (see the Sources &amp; Assumptions tab for the build). (i) Mall lease-up: GFA opened late in 2026 — Vincom Plaza at Wonder City (~27,000 sqm, 3Q26) and J-Town My Lam (4Q26) — contributes only partially in FY26 and annualises in FY27, joined by Vincom Mega Mall Long An (Tay Ninh) due in 2027, against occupancy of 88.1% at end-2025 across 90 malls. (ii) Commercial property transfers: management guides this to become a new earnings driver from 2027, as the ~1,200 shophouses at Vinhomes Royal Island and Vinhomes Golden Avenue (VND5,480bn deposited for ~109,800 sqm; ~45% gross margin) are handed over — the segment is guided at only ~1.5-2% of FY26 revenue, so the step-up falls in FY27. We credit only ~22% of the ~VND1,575bn gross profit management guided for a full handover year, because the schedule has already slipped once (press guidance in Oct-2025 put the step-up in FY26; the Apr-2026 AGM moved it to FY27) and the model's own 'sale of investment properties' line has ranged from VND381bn to VND3,433bn historically. This leaves us ~5% below MBS (FY27 NPAT VND6,502bn, +19.2%), which assumes a fuller handover.</t>
        </is>
      </c>
      <c r="D9" s="16" t="inlineStr">
        <is>
          <t>TP: VND28,000/share
- DCF (FCFF)-based; revised down from VND34,000.
- At TP, VRE trades at 11.9x 2026F P/E and 1.23x 2026F P/B (BVPS26F ~VND22,800) — undemanding for a near-monopoly retail landlord with double-digit leasing growth.
- Against the current ~VND22,000 (24/07/26), the TP implies ~27% expected return.</t>
        </is>
      </c>
      <c r="E9" s="16" t="inlineStr">
        <is>
          <t>- Commercial property transfers are a potential new earnings stream from 2027: ~1,200 shophouses at Vinhomes Royal Island and Golden Avenue (VND5,480bn deposited, ~45% gross margin) under the Vincom Collection format. We treat this as optionality, not a base-case engine - our forecast credits only ~22% of the guided first-year gross profit.
- Mall pipeline: Wonder City (~27,000 sqm) and J-Town My Lam open in 2H26 and annualise in 2027; Vincom Mega Mall Long An follows in 2027, with management flagging 2028 as the breakout year as transport-infrastructure-linked projects complete (GFA target ~3.5mn sqm post-2030 vs ~1.9mn now).
- Occupancy maximization across 90 operating malls (88.1% at end-2025) supports leasing revenue growth.
- First cash dividend in 7 years (10% of par, ~VND2.2tn, paid Jul 2026) signals a shareholder-return shift.
- Risks: shophouse handover timing is lumpy and largely determines the FY27 step-up; tenant/counterparty concentration in the Vingroup ecosystem; a property-led FY27 creates a high base for FY28, echoing the FY25 one-off distortion.</t>
        </is>
      </c>
      <c r="F9" s="61" t="n">
        <v>5483</v>
      </c>
      <c r="G9" s="61" t="n">
        <v>6196</v>
      </c>
      <c r="H9" s="62" t="n">
        <v>-0.1388706531264823</v>
      </c>
      <c r="I9" s="62" t="n">
        <v>0.13003830020062</v>
      </c>
      <c r="J9" s="63" t="n">
        <v>11.89256159037024</v>
      </c>
      <c r="K9" s="63" t="n">
        <v>10.52403408650743</v>
      </c>
      <c r="L9" s="63" t="n">
        <v>1.228188684873102</v>
      </c>
      <c r="M9" s="63" t="n">
        <v>1.097475414590936</v>
      </c>
    </row>
    <row r="10" ht="153.6" customFormat="1" customHeight="1" s="52">
      <c r="A10" s="32" t="n">
        <v>8</v>
      </c>
      <c r="B10" s="47" t="inlineStr">
        <is>
          <t>VIC</t>
        </is>
      </c>
      <c r="C10" s="41" t="n"/>
      <c r="D10" s="45" t="n"/>
      <c r="E10" s="48" t="n"/>
      <c r="F10" s="49" t="n"/>
      <c r="G10" s="49" t="n"/>
      <c r="H10" s="65" t="n"/>
      <c r="I10" s="65" t="n"/>
      <c r="J10" s="66" t="n"/>
      <c r="K10" s="66" t="n"/>
      <c r="L10" s="66" t="n"/>
      <c r="M10" s="66" t="n"/>
    </row>
    <row r="11" ht="394.2" customFormat="1" customHeight="1" s="52">
      <c r="A11" s="44" t="n">
        <v>9</v>
      </c>
      <c r="B11" s="47" t="inlineStr">
        <is>
          <t>VHM</t>
        </is>
      </c>
      <c r="C11" s="41" t="n"/>
      <c r="D11" s="45" t="n"/>
      <c r="E11" s="48" t="n"/>
      <c r="F11" s="49" t="n"/>
      <c r="G11" s="49" t="n"/>
      <c r="H11" s="65" t="n"/>
      <c r="I11" s="65" t="n"/>
      <c r="J11" s="66" t="n"/>
      <c r="K11" s="66" t="n"/>
      <c r="L11" s="66" t="n"/>
      <c r="M11" s="66" t="n"/>
    </row>
    <row r="12" ht="409.6" customFormat="1" customHeight="1" s="39">
      <c r="A12" s="32" t="n">
        <v>10</v>
      </c>
      <c r="B12" s="32" t="inlineStr">
        <is>
          <t>VIX</t>
        </is>
      </c>
      <c r="C12" s="33" t="n"/>
      <c r="D12" s="34" t="n"/>
      <c r="E12" s="35" t="n"/>
      <c r="F12" s="36" t="n"/>
      <c r="G12" s="36" t="n"/>
      <c r="H12" s="59" t="n"/>
      <c r="I12" s="59" t="n"/>
      <c r="J12" s="60" t="n"/>
      <c r="K12" s="60" t="n"/>
      <c r="L12" s="60" t="n"/>
      <c r="M12" s="60" t="n"/>
    </row>
    <row r="13">
      <c r="N13" s="2" t="n"/>
      <c r="O13" s="2" t="n"/>
      <c r="P13" s="2" t="n"/>
      <c r="Q13" s="2" t="n"/>
      <c r="R13" s="2" t="n"/>
      <c r="S13" s="2" t="n"/>
      <c r="T13" s="2" t="n"/>
      <c r="U13" s="2" t="n"/>
      <c r="V13" s="2" t="n"/>
      <c r="W13" s="2" t="n"/>
      <c r="X13" s="2" t="n"/>
      <c r="Y13" s="2" t="n"/>
      <c r="Z13" s="2" t="n"/>
      <c r="AA13" s="2" t="n"/>
      <c r="AB13" s="2" t="n"/>
      <c r="AC13" s="2" t="n"/>
      <c r="AD13" s="2" t="n"/>
      <c r="AE13" s="2" t="n"/>
      <c r="AF13" s="2" t="n"/>
      <c r="AG13" s="2" t="n"/>
      <c r="AH13" s="2" t="n"/>
      <c r="AI13" s="2" t="n"/>
      <c r="AJ13" s="2" t="n"/>
      <c r="AK13" s="2" t="n"/>
      <c r="AL13" s="2" t="n"/>
      <c r="AM13" s="2" t="n"/>
      <c r="AN13" s="2" t="n"/>
      <c r="AO13" s="2" t="n"/>
      <c r="AP13" s="2" t="n"/>
      <c r="AQ13" s="2" t="n"/>
      <c r="AR13" s="2" t="n"/>
    </row>
    <row r="14">
      <c r="N14" s="2" t="n"/>
      <c r="O14" s="2" t="n"/>
      <c r="P14" s="2" t="n"/>
      <c r="Q14" s="2" t="n"/>
      <c r="R14" s="2" t="n"/>
      <c r="S14" s="2" t="n"/>
      <c r="T14" s="2" t="n"/>
      <c r="U14" s="2" t="n"/>
      <c r="V14" s="2" t="n"/>
      <c r="W14" s="2" t="n"/>
      <c r="X14" s="2" t="n"/>
      <c r="Y14" s="2" t="n"/>
      <c r="Z14" s="2" t="n"/>
      <c r="AA14" s="2" t="n"/>
      <c r="AB14" s="2" t="n"/>
      <c r="AC14" s="2" t="n"/>
      <c r="AD14" s="2" t="n"/>
      <c r="AE14" s="2" t="n"/>
      <c r="AF14" s="2" t="n"/>
      <c r="AG14" s="2" t="n"/>
      <c r="AH14" s="2" t="n"/>
      <c r="AI14" s="2" t="n"/>
      <c r="AJ14" s="2" t="n"/>
      <c r="AK14" s="2" t="n"/>
      <c r="AL14" s="2" t="n"/>
      <c r="AM14" s="2" t="n"/>
      <c r="AN14" s="2" t="n"/>
      <c r="AO14" s="2" t="n"/>
      <c r="AP14" s="2" t="n"/>
      <c r="AQ14" s="2" t="n"/>
      <c r="AR14" s="2" t="n"/>
    </row>
    <row r="15">
      <c r="N15" s="2" t="n"/>
      <c r="O15" s="2" t="n"/>
      <c r="P15" s="2" t="n"/>
      <c r="Q15" s="2" t="n"/>
      <c r="R15" s="2" t="n"/>
      <c r="S15" s="2" t="n"/>
      <c r="T15" s="2" t="n"/>
      <c r="U15" s="2" t="n"/>
      <c r="V15" s="2" t="n"/>
      <c r="W15" s="2" t="n"/>
      <c r="X15" s="2" t="n"/>
      <c r="Y15" s="2" t="n"/>
      <c r="Z15" s="2" t="n"/>
      <c r="AA15" s="2" t="n"/>
      <c r="AB15" s="2" t="n"/>
      <c r="AC15" s="2" t="n"/>
      <c r="AD15" s="2" t="n"/>
      <c r="AE15" s="2" t="n"/>
      <c r="AF15" s="2" t="n"/>
      <c r="AG15" s="2" t="n"/>
      <c r="AH15" s="2" t="n"/>
      <c r="AI15" s="2" t="n"/>
      <c r="AJ15" s="2" t="n"/>
      <c r="AK15" s="2" t="n"/>
      <c r="AL15" s="2" t="n"/>
      <c r="AM15" s="2" t="n"/>
      <c r="AN15" s="2" t="n"/>
      <c r="AO15" s="2" t="n"/>
      <c r="AP15" s="2" t="n"/>
      <c r="AQ15" s="2" t="n"/>
      <c r="AR15" s="2" t="n"/>
    </row>
  </sheetData>
  <pageMargins left="0.7" right="0.7" top="0.75" bottom="0.75" header="0.3" footer="0.3"/>
  <pageSetup orientation="portrait" paperSize="9"/>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E46"/>
  <sheetViews>
    <sheetView zoomScale="80" zoomScaleNormal="80" workbookViewId="0">
      <pane xSplit="2" ySplit="3" topLeftCell="C4" activePane="bottomRight" state="frozen"/>
      <selection pane="topRight" activeCell="C1" sqref="C1"/>
      <selection pane="bottomLeft" activeCell="A6" sqref="A6"/>
      <selection pane="bottomRight" activeCell="A14" sqref="A14:XFD14"/>
    </sheetView>
  </sheetViews>
  <sheetFormatPr baseColWidth="8" defaultColWidth="9" defaultRowHeight="14.4"/>
  <cols>
    <col width="9" customWidth="1" style="3" min="1" max="1"/>
    <col width="9.44140625" customWidth="1" style="3" min="2" max="2"/>
    <col width="18.5546875" bestFit="1" customWidth="1" style="3" min="3" max="3"/>
    <col width="37.88671875" customWidth="1" style="3" min="4" max="5"/>
    <col width="9" customWidth="1" style="3" min="6" max="16384"/>
  </cols>
  <sheetData>
    <row r="1">
      <c r="A1" s="3" t="inlineStr">
        <is>
          <t>Target Price and NPATMI forecast of all stocks under coverage</t>
        </is>
      </c>
    </row>
    <row r="3" ht="25.95" customFormat="1" customHeight="1" s="1">
      <c r="A3" s="5" t="inlineStr">
        <is>
          <t>No</t>
        </is>
      </c>
      <c r="B3" s="5" t="inlineStr">
        <is>
          <t>Ticker</t>
        </is>
      </c>
      <c r="C3" s="5" t="inlineStr">
        <is>
          <t>Target Price - VND</t>
        </is>
      </c>
      <c r="D3" s="5" t="inlineStr">
        <is>
          <t>2026F NPATMI (VNDbn)</t>
        </is>
      </c>
      <c r="E3" s="5" t="inlineStr">
        <is>
          <t>2027F NPATMI (VNDbn)</t>
        </is>
      </c>
    </row>
    <row r="4" ht="15.6" customFormat="1" customHeight="1" s="2">
      <c r="A4" s="7" t="n">
        <v>1</v>
      </c>
      <c r="B4" s="13" t="inlineStr">
        <is>
          <t>ACB</t>
        </is>
      </c>
      <c r="C4" s="14" t="n">
        <v>26300</v>
      </c>
      <c r="D4" s="67" t="n">
        <v>18024.02570822031</v>
      </c>
      <c r="E4" s="67" t="n">
        <v>21427.58704806143</v>
      </c>
    </row>
    <row r="5" ht="15.6" customFormat="1" customHeight="1" s="1">
      <c r="A5" s="7" t="n">
        <v>2</v>
      </c>
      <c r="B5" s="13" t="inlineStr">
        <is>
          <t>VCB</t>
        </is>
      </c>
      <c r="C5" s="14" t="n">
        <v>68200</v>
      </c>
      <c r="D5" s="15" t="n">
        <v>38246.56427006696</v>
      </c>
      <c r="E5" s="15" t="n">
        <v>44627.02148934672</v>
      </c>
    </row>
    <row r="6" ht="15.6" customFormat="1" customHeight="1" s="1">
      <c r="A6" s="7" t="n">
        <v>3</v>
      </c>
      <c r="B6" s="13" t="inlineStr">
        <is>
          <t>TCB</t>
        </is>
      </c>
      <c r="C6" s="14" t="n">
        <v>38900</v>
      </c>
      <c r="D6" s="15" t="n">
        <v>30159</v>
      </c>
      <c r="E6" s="15" t="n">
        <v>36600</v>
      </c>
    </row>
    <row r="7" ht="15.6" customFormat="1" customHeight="1" s="1">
      <c r="A7" s="7" t="n">
        <v>4</v>
      </c>
      <c r="B7" s="13" t="inlineStr">
        <is>
          <t>VPB</t>
        </is>
      </c>
      <c r="C7" s="14" t="n">
        <v>33800</v>
      </c>
      <c r="D7" s="15" t="n">
        <v>29055.95994811119</v>
      </c>
      <c r="E7" s="15" t="n">
        <v>36118.82168171501</v>
      </c>
    </row>
    <row r="8" ht="15.6" customFormat="1" customHeight="1" s="1">
      <c r="A8" s="7" t="n">
        <v>5</v>
      </c>
      <c r="B8" s="13" t="inlineStr">
        <is>
          <t>VIB</t>
        </is>
      </c>
      <c r="C8" s="14" t="n">
        <v>21500</v>
      </c>
      <c r="D8" s="15" t="n">
        <v>9523</v>
      </c>
      <c r="E8" s="15" t="n">
        <v>12527</v>
      </c>
    </row>
    <row r="9" ht="15.6" customFormat="1" customHeight="1" s="1">
      <c r="A9" s="7" t="n">
        <v>6</v>
      </c>
      <c r="B9" s="13" t="inlineStr">
        <is>
          <t>HDB</t>
        </is>
      </c>
      <c r="C9" s="14" t="n">
        <v>32000</v>
      </c>
      <c r="D9" s="15" t="n">
        <v>19903.78199416541</v>
      </c>
      <c r="E9" s="15" t="n">
        <v>23892.87239446412</v>
      </c>
    </row>
    <row r="10" ht="15.6" customFormat="1" customHeight="1" s="1">
      <c r="A10" s="7" t="n">
        <v>7</v>
      </c>
      <c r="B10" s="13" t="inlineStr">
        <is>
          <t>CTG</t>
        </is>
      </c>
      <c r="C10" s="14" t="n">
        <v>41200</v>
      </c>
      <c r="D10" s="15" t="n">
        <v>38318</v>
      </c>
      <c r="E10" s="15" t="n">
        <v>40191</v>
      </c>
    </row>
    <row r="11" ht="15.6" customFormat="1" customHeight="1" s="1">
      <c r="A11" s="7" t="n">
        <v>8</v>
      </c>
      <c r="B11" s="13" t="inlineStr">
        <is>
          <t>BID</t>
        </is>
      </c>
      <c r="C11" s="14" t="n">
        <v>43300</v>
      </c>
      <c r="D11" s="15" t="n">
        <v>30761.9513231014</v>
      </c>
      <c r="E11" s="15" t="n">
        <v>34203.52257137384</v>
      </c>
    </row>
    <row r="12" ht="15.6" customFormat="1" customHeight="1" s="1">
      <c r="A12" s="7" t="n">
        <v>9</v>
      </c>
      <c r="B12" s="13" t="inlineStr">
        <is>
          <t>MBB</t>
        </is>
      </c>
      <c r="C12" s="14" t="n">
        <v>33300</v>
      </c>
      <c r="D12" s="15" t="n">
        <v>31861</v>
      </c>
      <c r="E12" s="15" t="n">
        <v>39157</v>
      </c>
    </row>
    <row r="13" ht="15.6" customFormat="1" customHeight="1" s="1">
      <c r="A13" s="7" t="n">
        <v>10</v>
      </c>
      <c r="B13" s="13" t="inlineStr">
        <is>
          <t>STB</t>
        </is>
      </c>
      <c r="C13" s="14" t="n">
        <v>77500</v>
      </c>
      <c r="D13" s="15" t="n">
        <v>6583</v>
      </c>
      <c r="E13" s="15" t="n">
        <v>12311</v>
      </c>
    </row>
    <row r="14" ht="15.6" customFormat="1" customHeight="1" s="1">
      <c r="A14" s="7" t="n">
        <v>11</v>
      </c>
      <c r="B14" s="13" t="inlineStr">
        <is>
          <t>TPB</t>
        </is>
      </c>
      <c r="C14" s="14" t="n">
        <v>18600</v>
      </c>
      <c r="D14" s="15" t="n">
        <v>8053</v>
      </c>
      <c r="E14" s="15" t="n">
        <v>9270</v>
      </c>
    </row>
    <row r="15" ht="15.6" customFormat="1" customHeight="1" s="1">
      <c r="A15" s="7" t="n">
        <v>12</v>
      </c>
      <c r="B15" s="13" t="inlineStr">
        <is>
          <t>EIB</t>
        </is>
      </c>
      <c r="C15" s="14" t="n">
        <v>25500</v>
      </c>
      <c r="D15" s="15" t="n">
        <v>1971</v>
      </c>
      <c r="E15" s="15" t="n">
        <v>3094</v>
      </c>
    </row>
    <row r="16" ht="15.6" customFormat="1" customHeight="1" s="1">
      <c r="A16" s="7" t="n">
        <v>13</v>
      </c>
      <c r="B16" s="13" t="inlineStr">
        <is>
          <t>FPT</t>
        </is>
      </c>
      <c r="C16" s="14" t="n">
        <v>78750</v>
      </c>
      <c r="D16" s="15" t="n">
        <v>10943</v>
      </c>
      <c r="E16" s="15" t="n">
        <v>12518</v>
      </c>
    </row>
    <row r="17" ht="15.6" customFormat="1" customHeight="1" s="1">
      <c r="A17" s="7" t="n">
        <v>14</v>
      </c>
      <c r="B17" s="13" t="inlineStr">
        <is>
          <t>CTR</t>
        </is>
      </c>
      <c r="C17" s="14" t="n">
        <v>100400</v>
      </c>
      <c r="D17" s="15" t="n">
        <v>662</v>
      </c>
      <c r="E17" s="15" t="n">
        <v>777</v>
      </c>
    </row>
    <row r="18" ht="15.6" customFormat="1" customHeight="1" s="1">
      <c r="A18" s="7" t="n">
        <v>15</v>
      </c>
      <c r="B18" s="13" t="inlineStr">
        <is>
          <t>VRE</t>
        </is>
      </c>
      <c r="C18" s="14" t="n">
        <v>28000</v>
      </c>
      <c r="D18" s="15" t="n">
        <v>5483</v>
      </c>
      <c r="E18" s="15" t="n">
        <v>6196</v>
      </c>
    </row>
    <row r="19" ht="15.6" customFormat="1" customHeight="1" s="1">
      <c r="A19" s="7" t="n">
        <v>16</v>
      </c>
      <c r="B19" s="13" t="inlineStr">
        <is>
          <t>HPG</t>
        </is>
      </c>
      <c r="C19" s="14" t="n">
        <v>31800</v>
      </c>
      <c r="D19" s="15" t="n">
        <v>23046</v>
      </c>
      <c r="E19" s="15" t="n">
        <v>25517</v>
      </c>
    </row>
    <row r="20" ht="15.6" customFormat="1" customHeight="1" s="1">
      <c r="A20" s="7" t="n">
        <v>17</v>
      </c>
      <c r="B20" s="13" t="inlineStr">
        <is>
          <t>NKG</t>
        </is>
      </c>
      <c r="C20" s="14" t="n">
        <v>15900</v>
      </c>
      <c r="D20" s="15" t="n">
        <v>243</v>
      </c>
      <c r="E20" s="15" t="n">
        <v>213</v>
      </c>
    </row>
    <row r="21" ht="15.6" customFormat="1" customHeight="1" s="1">
      <c r="A21" s="7" t="n">
        <v>18</v>
      </c>
      <c r="B21" s="13" t="inlineStr">
        <is>
          <t>GDA</t>
        </is>
      </c>
      <c r="C21" s="14" t="n">
        <v>16600</v>
      </c>
      <c r="D21" s="15" t="n">
        <v>304</v>
      </c>
      <c r="E21" s="15" t="n">
        <v>363</v>
      </c>
    </row>
    <row r="22" ht="15.6" customFormat="1" customHeight="1" s="1">
      <c r="A22" s="7" t="n">
        <v>19</v>
      </c>
      <c r="B22" s="13" t="inlineStr">
        <is>
          <t>KDH</t>
        </is>
      </c>
      <c r="C22" s="14" t="n">
        <v>29150</v>
      </c>
      <c r="D22" s="15" t="n">
        <v>1330</v>
      </c>
      <c r="E22" s="15" t="n">
        <v>2236</v>
      </c>
    </row>
    <row r="23" ht="15.6" customFormat="1" customHeight="1" s="1">
      <c r="A23" s="7" t="n">
        <v>20</v>
      </c>
      <c r="B23" s="13" t="inlineStr">
        <is>
          <t>NLG</t>
        </is>
      </c>
      <c r="C23" s="14" t="n">
        <v>35000</v>
      </c>
      <c r="D23" s="15" t="n">
        <v>697</v>
      </c>
      <c r="E23" s="15" t="n">
        <v>931</v>
      </c>
    </row>
    <row r="24" ht="15.6" customFormat="1" customHeight="1" s="1">
      <c r="A24" s="7" t="n">
        <v>21</v>
      </c>
      <c r="B24" s="13" t="inlineStr">
        <is>
          <t>IDC</t>
        </is>
      </c>
      <c r="C24" s="14" t="n">
        <v>53800</v>
      </c>
      <c r="D24" s="15" t="n">
        <v>2469</v>
      </c>
      <c r="E24" s="15" t="n">
        <v>2729</v>
      </c>
    </row>
    <row r="25" ht="15.6" customFormat="1" customHeight="1" s="1">
      <c r="A25" s="7" t="n">
        <v>22</v>
      </c>
      <c r="B25" s="13" t="inlineStr">
        <is>
          <t>GVR</t>
        </is>
      </c>
      <c r="C25" s="14" t="n">
        <v>38200</v>
      </c>
      <c r="D25" s="15" t="n">
        <v>6870</v>
      </c>
      <c r="E25" s="15" t="n">
        <v>7265</v>
      </c>
    </row>
    <row r="26" ht="15.6" customFormat="1" customHeight="1" s="1">
      <c r="A26" s="7" t="n">
        <v>23</v>
      </c>
      <c r="B26" s="13" t="inlineStr">
        <is>
          <t>MWG</t>
        </is>
      </c>
      <c r="C26" s="14" t="n">
        <v>100000</v>
      </c>
      <c r="D26" s="15" t="n">
        <v>8496.065519280182</v>
      </c>
      <c r="E26" s="15" t="n">
        <v>9788.528877585648</v>
      </c>
    </row>
    <row r="27" ht="15.6" customFormat="1" customHeight="1" s="1">
      <c r="A27" s="7" t="n">
        <v>24</v>
      </c>
      <c r="B27" s="13" t="inlineStr">
        <is>
          <t>PNJ</t>
        </is>
      </c>
      <c r="C27" s="14" t="n">
        <v>69800</v>
      </c>
      <c r="D27" s="15" t="n">
        <v>3413.280418605267</v>
      </c>
      <c r="E27" s="15" t="n">
        <v>3491.68</v>
      </c>
    </row>
    <row r="28" ht="15.6" customFormat="1" customHeight="1" s="1">
      <c r="A28" s="7" t="n">
        <v>25</v>
      </c>
      <c r="B28" s="13" t="inlineStr">
        <is>
          <t>QNS</t>
        </is>
      </c>
      <c r="C28" s="14" t="n">
        <v>55400</v>
      </c>
      <c r="D28" s="15" t="n">
        <v>1784</v>
      </c>
      <c r="E28" s="15" t="n">
        <v>2032</v>
      </c>
    </row>
    <row r="29" ht="15.6" customFormat="1" customHeight="1" s="1">
      <c r="A29" s="7" t="n">
        <v>26</v>
      </c>
      <c r="B29" s="13" t="inlineStr">
        <is>
          <t>VNM</t>
        </is>
      </c>
      <c r="C29" s="14" t="n">
        <v>76800</v>
      </c>
      <c r="D29" s="15" t="n">
        <v>9404</v>
      </c>
      <c r="E29" s="15" t="n">
        <v>9651</v>
      </c>
    </row>
    <row r="30" ht="15.6" customFormat="1" customHeight="1" s="1">
      <c r="A30" s="7" t="n">
        <v>27</v>
      </c>
      <c r="B30" s="13" t="inlineStr">
        <is>
          <t>SAB</t>
        </is>
      </c>
      <c r="C30" s="14" t="n">
        <v>52800</v>
      </c>
      <c r="D30" s="15" t="n">
        <v>4367</v>
      </c>
      <c r="E30" s="15" t="n">
        <v>4289</v>
      </c>
    </row>
    <row r="31" ht="15.6" customFormat="1" customHeight="1" s="1">
      <c r="A31" s="7" t="n">
        <v>28</v>
      </c>
      <c r="B31" s="13" t="inlineStr">
        <is>
          <t>VHC</t>
        </is>
      </c>
      <c r="C31" s="14" t="n">
        <v>69900</v>
      </c>
      <c r="D31" s="15" t="n">
        <v>1433</v>
      </c>
      <c r="E31" s="15" t="n">
        <v>926</v>
      </c>
    </row>
    <row r="32" ht="15.6" customFormat="1" customHeight="1" s="1">
      <c r="A32" s="7" t="n">
        <v>29</v>
      </c>
      <c r="B32" s="13" t="inlineStr">
        <is>
          <t>ANV</t>
        </is>
      </c>
      <c r="C32" s="14" t="n">
        <v>25900</v>
      </c>
      <c r="D32" s="15" t="n">
        <v>837</v>
      </c>
      <c r="E32" s="15" t="n">
        <v>318</v>
      </c>
    </row>
    <row r="33" ht="15.6" customFormat="1" customHeight="1" s="1">
      <c r="A33" s="7" t="n">
        <v>30</v>
      </c>
      <c r="B33" s="13" t="inlineStr">
        <is>
          <t>GMD</t>
        </is>
      </c>
      <c r="C33" s="14" t="n">
        <v>78800</v>
      </c>
      <c r="D33" s="15" t="n">
        <v>1890</v>
      </c>
      <c r="E33" s="15" t="n">
        <v>2183</v>
      </c>
    </row>
    <row r="34" ht="15.6" customFormat="1" customHeight="1" s="1">
      <c r="A34" s="7" t="n">
        <v>31</v>
      </c>
      <c r="B34" s="13" t="inlineStr">
        <is>
          <t>MSH</t>
        </is>
      </c>
      <c r="C34" s="14" t="n">
        <v>42800</v>
      </c>
      <c r="D34" s="15" t="n">
        <v>624</v>
      </c>
      <c r="E34" s="15" t="n">
        <v>616</v>
      </c>
    </row>
    <row r="35" ht="15.6" customFormat="1" customHeight="1" s="1">
      <c r="A35" s="7" t="n">
        <v>32</v>
      </c>
      <c r="B35" s="19" t="inlineStr">
        <is>
          <t>TNG</t>
        </is>
      </c>
      <c r="C35" s="20" t="n">
        <v>26000</v>
      </c>
      <c r="D35" s="21" t="n">
        <v>493</v>
      </c>
      <c r="E35" s="21" t="n">
        <v>483</v>
      </c>
    </row>
    <row r="36" ht="15.6" customFormat="1" customHeight="1" s="1">
      <c r="A36" s="7" t="n">
        <v>33</v>
      </c>
      <c r="B36" s="13" t="inlineStr">
        <is>
          <t>PPH</t>
        </is>
      </c>
      <c r="C36" s="14" t="n">
        <v>37500</v>
      </c>
      <c r="D36" s="15" t="n">
        <v>471</v>
      </c>
      <c r="E36" s="15" t="n">
        <v>439</v>
      </c>
    </row>
    <row r="37" ht="15.6" customFormat="1" customHeight="1" s="1">
      <c r="A37" s="7" t="n">
        <v>34</v>
      </c>
      <c r="B37" s="13" t="inlineStr">
        <is>
          <t>STK</t>
        </is>
      </c>
      <c r="C37" s="14" t="n">
        <v>13700</v>
      </c>
      <c r="D37" s="15" t="n">
        <v>115</v>
      </c>
      <c r="E37" s="15" t="n">
        <v>172</v>
      </c>
    </row>
    <row r="38" ht="15.6" customFormat="1" customHeight="1" s="1">
      <c r="A38" s="7" t="n">
        <v>35</v>
      </c>
      <c r="B38" s="13" t="inlineStr">
        <is>
          <t>NT2</t>
        </is>
      </c>
      <c r="C38" s="14" t="n">
        <v>28800</v>
      </c>
      <c r="D38" s="15" t="n">
        <v>776</v>
      </c>
      <c r="E38" s="15" t="n">
        <v>782</v>
      </c>
    </row>
    <row r="39" ht="15.6" customFormat="1" customHeight="1" s="1">
      <c r="A39" s="7" t="n">
        <v>36</v>
      </c>
      <c r="B39" s="13" t="inlineStr">
        <is>
          <t>GEG</t>
        </is>
      </c>
      <c r="C39" s="14" t="n">
        <v>18500</v>
      </c>
      <c r="D39" s="15" t="n">
        <v>487</v>
      </c>
      <c r="E39" s="15" t="n">
        <v>623</v>
      </c>
    </row>
    <row r="40" ht="15.6" customFormat="1" customHeight="1" s="1">
      <c r="A40" s="7" t="n">
        <v>37</v>
      </c>
      <c r="B40" s="13" t="inlineStr">
        <is>
          <t>VSH</t>
        </is>
      </c>
      <c r="C40" s="14" t="n">
        <v>51800</v>
      </c>
      <c r="D40" s="15" t="n">
        <v>781</v>
      </c>
      <c r="E40" s="15" t="n">
        <v>678</v>
      </c>
    </row>
    <row r="41" ht="15.6" customFormat="1" customHeight="1" s="1">
      <c r="A41" s="7" t="n">
        <v>38</v>
      </c>
      <c r="B41" s="13" t="inlineStr">
        <is>
          <t>BWE</t>
        </is>
      </c>
      <c r="C41" s="14" t="n">
        <v>58000</v>
      </c>
      <c r="D41" s="15" t="n">
        <v>1114.168614505003</v>
      </c>
      <c r="E41" s="15" t="n">
        <v>1273.12607188944</v>
      </c>
    </row>
    <row r="42" ht="15.6" customFormat="1" customHeight="1" s="1">
      <c r="A42" s="7" t="n">
        <v>39</v>
      </c>
      <c r="B42" s="13" t="inlineStr">
        <is>
          <t>PVS</t>
        </is>
      </c>
      <c r="C42" s="14" t="n">
        <v>54700</v>
      </c>
      <c r="D42" s="15" t="n">
        <v>1992</v>
      </c>
      <c r="E42" s="15" t="n">
        <v>2178</v>
      </c>
    </row>
    <row r="43" ht="15.6" customFormat="1" customHeight="1" s="1">
      <c r="A43" s="7" t="n">
        <v>40</v>
      </c>
      <c r="B43" s="13" t="inlineStr">
        <is>
          <t>PLX</t>
        </is>
      </c>
      <c r="C43" s="14" t="n">
        <v>50300</v>
      </c>
      <c r="D43" s="15" t="n">
        <v>4140</v>
      </c>
      <c r="E43" s="15" t="n">
        <v>3945</v>
      </c>
    </row>
    <row r="44" ht="15.6" customFormat="1" customHeight="1" s="1">
      <c r="A44" s="7" t="n">
        <v>41</v>
      </c>
      <c r="B44" s="13" t="inlineStr">
        <is>
          <t>OIL</t>
        </is>
      </c>
      <c r="C44" s="14" t="n">
        <v>11650</v>
      </c>
      <c r="D44" s="15" t="n">
        <v>557.8941858653498</v>
      </c>
      <c r="E44" s="15" t="n">
        <v>681.3247252364381</v>
      </c>
    </row>
    <row r="45" ht="15.6" customFormat="1" customHeight="1" s="1">
      <c r="A45" s="7" t="n">
        <v>42</v>
      </c>
      <c r="B45" s="13" t="inlineStr">
        <is>
          <t>DCM</t>
        </is>
      </c>
      <c r="C45" s="14" t="n">
        <v>47000</v>
      </c>
      <c r="D45" s="15" t="n">
        <v>1969</v>
      </c>
      <c r="E45" s="15" t="n">
        <v>1767</v>
      </c>
    </row>
    <row r="46">
      <c r="D46" s="4" t="n"/>
      <c r="E46" s="4"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38"/>
  <sheetViews>
    <sheetView workbookViewId="0">
      <pane ySplit="4" topLeftCell="A5" activePane="bottomLeft" state="frozen"/>
      <selection pane="bottomLeft" activeCell="A1" sqref="A1"/>
    </sheetView>
  </sheetViews>
  <sheetFormatPr baseColWidth="8" defaultRowHeight="15"/>
  <cols>
    <col width="6" customWidth="1" min="1" max="1"/>
    <col width="38" customWidth="1" min="2" max="2"/>
    <col width="16" customWidth="1" min="3" max="3"/>
    <col width="8" customWidth="1" min="4" max="4"/>
    <col width="14" customWidth="1" min="5" max="5"/>
    <col width="52" customWidth="1" min="6" max="6"/>
    <col width="62" customWidth="1" min="7" max="7"/>
  </cols>
  <sheetData>
    <row r="1">
      <c r="A1" s="68" t="inlineStr">
        <is>
          <t>SOURCES &amp; ASSUMPTIONS — provenance record for every figure used in the Stock Pick tab</t>
        </is>
      </c>
    </row>
    <row r="2" ht="28" customHeight="1">
      <c r="A2" s="69" t="inlineStr">
        <is>
          <t>RULE: no figure enters a client-facing cell without a source tag below. MODEL = a cell in our own model · COMPANY = company disclosure/plan/AGM · PRESS = media report (outlet + date) · MAS = our estimate, which must show its build · UNVERIFIED = single unconfirmed source, flagged in red.</t>
        </is>
      </c>
    </row>
    <row r="4">
      <c r="A4" s="70" t="inlineStr">
        <is>
          <t>#</t>
        </is>
      </c>
      <c r="B4" s="70" t="inlineStr">
        <is>
          <t>Item</t>
        </is>
      </c>
      <c r="C4" s="70" t="inlineStr">
        <is>
          <t>Value</t>
        </is>
      </c>
      <c r="D4" s="70" t="inlineStr">
        <is>
          <t>Unit</t>
        </is>
      </c>
      <c r="E4" s="70" t="inlineStr">
        <is>
          <t>Source type</t>
        </is>
      </c>
      <c r="F4" s="70" t="inlineStr">
        <is>
          <t>Source detail / date</t>
        </is>
      </c>
      <c r="G4" s="70" t="inlineStr">
        <is>
          <t>Status &amp; notes</t>
        </is>
      </c>
    </row>
    <row r="5" ht="18" customHeight="1">
      <c r="A5" s="71" t="inlineStr"/>
      <c r="B5" s="72" t="inlineStr">
        <is>
          <t>VRE — FY25 REPORTED</t>
        </is>
      </c>
      <c r="C5" s="71" t="inlineStr"/>
      <c r="D5" s="71" t="inlineStr"/>
      <c r="E5" s="71" t="inlineStr"/>
      <c r="F5" s="71" t="inlineStr"/>
      <c r="G5" s="71" t="inlineStr"/>
    </row>
    <row r="6" ht="30" customHeight="1">
      <c r="A6" s="73" t="inlineStr">
        <is>
          <t>1</t>
        </is>
      </c>
      <c r="B6" s="73" t="inlineStr">
        <is>
          <t>Net revenue FY25</t>
        </is>
      </c>
      <c r="C6" s="73" t="inlineStr">
        <is>
          <t>8,712</t>
        </is>
      </c>
      <c r="D6" s="73" t="inlineStr">
        <is>
          <t>VNDbn</t>
        </is>
      </c>
      <c r="E6" s="73" t="inlineStr">
        <is>
          <t>PRESS + COMPANY</t>
        </is>
      </c>
      <c r="F6" s="74" t="inlineStr">
        <is>
          <t>Media reports of FY25 results; cross-checks to the FY26 plan (VND10,132bn stated as +16% YoY -&gt; implies 8,734)</t>
        </is>
      </c>
      <c r="G6" s="74" t="inlineStr">
        <is>
          <t>RECONCILED. NOT an adjusted figure — the FY25 one-offs sat in financial income, below the revenue line. Model Summary!K157 shows 9,074 but that column is a 2025F forecast, not actual.</t>
        </is>
      </c>
    </row>
    <row r="7" ht="30" customHeight="1">
      <c r="A7" s="73" t="inlineStr">
        <is>
          <t>2</t>
        </is>
      </c>
      <c r="B7" s="73" t="inlineStr">
        <is>
          <t>Leasing revenue FY25</t>
        </is>
      </c>
      <c r="C7" s="73" t="inlineStr">
        <is>
          <t>8,400</t>
        </is>
      </c>
      <c r="D7" s="73" t="inlineStr">
        <is>
          <t>VNDbn</t>
        </is>
      </c>
      <c r="E7" s="73" t="inlineStr">
        <is>
          <t>PRESS</t>
        </is>
      </c>
      <c r="F7" s="74" t="inlineStr">
        <is>
          <t>FY25 results coverage, +8.3% YoY</t>
        </is>
      </c>
      <c r="G7" s="74" t="inlineStr">
        <is>
          <t>Single source; consistent with model leasing 2025F of 8,311.</t>
        </is>
      </c>
    </row>
    <row r="8" ht="30" customHeight="1">
      <c r="A8" s="73" t="inlineStr">
        <is>
          <t>3</t>
        </is>
      </c>
      <c r="B8" s="73" t="inlineStr">
        <is>
          <t>NPAT FY25 (reported)</t>
        </is>
      </c>
      <c r="C8" s="73" t="inlineStr">
        <is>
          <t>6,446</t>
        </is>
      </c>
      <c r="D8" s="73" t="inlineStr">
        <is>
          <t>VNDbn</t>
        </is>
      </c>
      <c r="E8" s="73" t="inlineStr">
        <is>
          <t>COMPANY</t>
        </is>
      </c>
      <c r="F8" s="74" t="inlineStr">
        <is>
          <t>FY25 results announcement, +57.3% YoY</t>
        </is>
      </c>
      <c r="G8" s="74" t="inlineStr">
        <is>
          <t>Confirmed by multiple outlets.</t>
        </is>
      </c>
    </row>
    <row r="9" ht="30" customHeight="1">
      <c r="A9" s="73" t="inlineStr">
        <is>
          <t>4</t>
        </is>
      </c>
      <c r="B9" s="73" t="inlineStr">
        <is>
          <t>NPAT FY25 (adjusted)</t>
        </is>
      </c>
      <c r="C9" s="73" t="inlineStr">
        <is>
          <t>4,694</t>
        </is>
      </c>
      <c r="D9" s="73" t="inlineStr">
        <is>
          <t>VNDbn</t>
        </is>
      </c>
      <c r="E9" s="73" t="inlineStr">
        <is>
          <t>COMPANY</t>
        </is>
      </c>
      <c r="F9" s="74" t="inlineStr">
        <is>
          <t>Ex one-off financial income (Vincom Center Nguyen Chi Thanh stake transfer), +16.3% YoY</t>
        </is>
      </c>
      <c r="G9" s="74" t="inlineStr">
        <is>
          <t>"Adjusted" applies to PROFIT ONLY.</t>
        </is>
      </c>
    </row>
    <row r="10" ht="30" customHeight="1">
      <c r="A10" s="73" t="inlineStr">
        <is>
          <t>5</t>
        </is>
      </c>
      <c r="B10" s="73" t="inlineStr">
        <is>
          <t>NPAT FY25 (our model base)</t>
        </is>
      </c>
      <c r="C10" s="73" t="inlineStr">
        <is>
          <t>6,367</t>
        </is>
      </c>
      <c r="D10" s="73" t="inlineStr">
        <is>
          <t>VNDbn</t>
        </is>
      </c>
      <c r="E10" s="73" t="inlineStr">
        <is>
          <t>MODEL</t>
        </is>
      </c>
      <c r="F10" s="74" t="inlineStr">
        <is>
          <t>VRE_1Q26_v2_linked2.xlsx Summary!K158</t>
        </is>
      </c>
      <c r="G10" s="74" t="inlineStr">
        <is>
          <t>Used as the col-H growth denominator for cross-ticker consistency; differs from the 6,446 reported.</t>
        </is>
      </c>
    </row>
    <row r="11" ht="18" customHeight="1">
      <c r="A11" s="71" t="inlineStr"/>
      <c r="B11" s="72" t="inlineStr">
        <is>
          <t>VRE — 1Q26 REPORTED</t>
        </is>
      </c>
      <c r="C11" s="71" t="inlineStr"/>
      <c r="D11" s="71" t="inlineStr"/>
      <c r="E11" s="71" t="inlineStr"/>
      <c r="F11" s="71" t="inlineStr"/>
      <c r="G11" s="71" t="inlineStr"/>
    </row>
    <row r="12" ht="30" customHeight="1">
      <c r="A12" s="73" t="inlineStr">
        <is>
          <t>6</t>
        </is>
      </c>
      <c r="B12" s="73" t="inlineStr">
        <is>
          <t>Net revenue 1Q26</t>
        </is>
      </c>
      <c r="C12" s="73" t="inlineStr">
        <is>
          <t>2,574</t>
        </is>
      </c>
      <c r="D12" s="73" t="inlineStr">
        <is>
          <t>VNDbn</t>
        </is>
      </c>
      <c r="E12" s="73" t="inlineStr">
        <is>
          <t>PRESS</t>
        </is>
      </c>
      <c r="F12" s="74" t="inlineStr">
        <is>
          <t>1Q26 results coverage, +20.7% YoY</t>
        </is>
      </c>
      <c r="G12" s="74" t="inlineStr">
        <is>
          <t>Reported figure. Earlier draft wrongly labelled this "adjusted" — corrected.</t>
        </is>
      </c>
    </row>
    <row r="13" ht="30" customHeight="1">
      <c r="A13" s="73" t="inlineStr">
        <is>
          <t>7</t>
        </is>
      </c>
      <c r="B13" s="73" t="inlineStr">
        <is>
          <t>NPAT 1Q26</t>
        </is>
      </c>
      <c r="C13" s="73" t="inlineStr">
        <is>
          <t>1,606</t>
        </is>
      </c>
      <c r="D13" s="73" t="inlineStr">
        <is>
          <t>VNDbn</t>
        </is>
      </c>
      <c r="E13" s="73" t="inlineStr">
        <is>
          <t>PRESS</t>
        </is>
      </c>
      <c r="F13" s="74" t="inlineStr">
        <is>
          <t>1Q26 results coverage, +36.4% YoY</t>
        </is>
      </c>
      <c r="G13" s="74" t="inlineStr">
        <is>
          <t>Confirmed by multiple outlets.</t>
        </is>
      </c>
    </row>
    <row r="14" ht="18" customHeight="1">
      <c r="A14" s="71" t="inlineStr"/>
      <c r="B14" s="72" t="inlineStr">
        <is>
          <t>VRE — FY26F</t>
        </is>
      </c>
      <c r="C14" s="71" t="inlineStr"/>
      <c r="D14" s="71" t="inlineStr"/>
      <c r="E14" s="71" t="inlineStr"/>
      <c r="F14" s="71" t="inlineStr"/>
      <c r="G14" s="71" t="inlineStr"/>
    </row>
    <row r="15" ht="30" customHeight="1">
      <c r="A15" s="73" t="inlineStr">
        <is>
          <t>8</t>
        </is>
      </c>
      <c r="B15" s="73" t="inlineStr">
        <is>
          <t>FY26 revenue plan</t>
        </is>
      </c>
      <c r="C15" s="73" t="inlineStr">
        <is>
          <t>10,132</t>
        </is>
      </c>
      <c r="D15" s="73" t="inlineStr">
        <is>
          <t>VNDbn</t>
        </is>
      </c>
      <c r="E15" s="73" t="inlineStr">
        <is>
          <t>COMPANY</t>
        </is>
      </c>
      <c r="F15" s="74" t="inlineStr">
        <is>
          <t>2026 AGM, 23-Apr-2026</t>
        </is>
      </c>
      <c r="G15" s="74" t="inlineStr">
        <is>
          <t>Board-approved plan.</t>
        </is>
      </c>
    </row>
    <row r="16" ht="30" customHeight="1">
      <c r="A16" s="73" t="inlineStr">
        <is>
          <t>9</t>
        </is>
      </c>
      <c r="B16" s="73" t="inlineStr">
        <is>
          <t>FY26 NPAT plan</t>
        </is>
      </c>
      <c r="C16" s="73" t="inlineStr">
        <is>
          <t>5,375</t>
        </is>
      </c>
      <c r="D16" s="73" t="inlineStr">
        <is>
          <t>VNDbn</t>
        </is>
      </c>
      <c r="E16" s="73" t="inlineStr">
        <is>
          <t>COMPANY</t>
        </is>
      </c>
      <c r="F16" s="74" t="inlineStr">
        <is>
          <t>2026 AGM, 23-Apr-2026</t>
        </is>
      </c>
      <c r="G16" s="74" t="inlineStr">
        <is>
          <t>Board-approved plan.</t>
        </is>
      </c>
    </row>
    <row r="17" ht="30" customHeight="1">
      <c r="A17" s="73" t="inlineStr">
        <is>
          <t>10</t>
        </is>
      </c>
      <c r="B17" s="73" t="inlineStr">
        <is>
          <t>MAS FY26F net revenue</t>
        </is>
      </c>
      <c r="C17" s="73" t="inlineStr">
        <is>
          <t>10,639</t>
        </is>
      </c>
      <c r="D17" s="73" t="inlineStr">
        <is>
          <t>VNDbn</t>
        </is>
      </c>
      <c r="E17" s="73" t="inlineStr">
        <is>
          <t>MAS</t>
        </is>
      </c>
      <c r="F17" s="74">
        <f> plan x 1.05, per analyst instruction</f>
        <v/>
      </c>
      <c r="G17" s="74" t="inlineStr">
        <is>
          <t>Build: 10,132 x 1.05.</t>
        </is>
      </c>
    </row>
    <row r="18" ht="30" customHeight="1">
      <c r="A18" s="73" t="inlineStr">
        <is>
          <t>11</t>
        </is>
      </c>
      <c r="B18" s="73" t="inlineStr">
        <is>
          <t>MAS FY26F NPATMI</t>
        </is>
      </c>
      <c r="C18" s="73" t="inlineStr">
        <is>
          <t>5,483</t>
        </is>
      </c>
      <c r="D18" s="73" t="inlineStr">
        <is>
          <t>VNDbn</t>
        </is>
      </c>
      <c r="E18" s="73" t="inlineStr">
        <is>
          <t>MAS</t>
        </is>
      </c>
      <c r="F18" s="74">
        <f> plan x 1.02, per analyst instruction</f>
        <v/>
      </c>
      <c r="G18" s="74" t="inlineStr">
        <is>
          <t>Build: 5,375 x 1.02. Implies a 51.5% net margin vs ~53.0% in plan.</t>
        </is>
      </c>
    </row>
    <row r="19" ht="18" customHeight="1">
      <c r="A19" s="71" t="inlineStr"/>
      <c r="B19" s="72" t="inlineStr">
        <is>
          <t>VRE — FY27F BUILD (adopted)</t>
        </is>
      </c>
      <c r="C19" s="71" t="inlineStr"/>
      <c r="D19" s="71" t="inlineStr"/>
      <c r="E19" s="71" t="inlineStr"/>
      <c r="F19" s="71" t="inlineStr"/>
      <c r="G19" s="71" t="inlineStr"/>
    </row>
    <row r="20" ht="30" customHeight="1">
      <c r="A20" s="73" t="inlineStr">
        <is>
          <t>12</t>
        </is>
      </c>
      <c r="B20" s="73" t="inlineStr">
        <is>
          <t>FY26F NPATMI base</t>
        </is>
      </c>
      <c r="C20" s="73" t="inlineStr">
        <is>
          <t>5,483</t>
        </is>
      </c>
      <c r="D20" s="73" t="inlineStr">
        <is>
          <t>VNDbn</t>
        </is>
      </c>
      <c r="E20" s="73" t="inlineStr">
        <is>
          <t>MAS</t>
        </is>
      </c>
      <c r="F20" s="74" t="inlineStr">
        <is>
          <t>row 11</t>
        </is>
      </c>
      <c r="G20" s="74" t="inlineStr">
        <is>
          <t>—</t>
        </is>
      </c>
    </row>
    <row r="21" ht="30" customHeight="1">
      <c r="A21" s="73" t="inlineStr">
        <is>
          <t>13</t>
        </is>
      </c>
      <c r="B21" s="73" t="inlineStr">
        <is>
          <t>+ organic leasing growth</t>
        </is>
      </c>
      <c r="C21" s="73" t="inlineStr">
        <is>
          <t>439</t>
        </is>
      </c>
      <c r="D21" s="73" t="inlineStr">
        <is>
          <t>VNDbn</t>
        </is>
      </c>
      <c r="E21" s="73" t="inlineStr">
        <is>
          <t>MAS</t>
        </is>
      </c>
      <c r="F21" s="74" t="inlineStr">
        <is>
          <t>+8.0% on base: 2026 GFA additions annualise; occupancy 88.1% (end-2025) recovering</t>
        </is>
      </c>
      <c r="G21" s="74" t="inlineStr">
        <is>
          <t>GFA +5.2% in the model; +8% profit growth assumes modest operating leverage.</t>
        </is>
      </c>
    </row>
    <row r="22" ht="30" customHeight="1">
      <c r="A22" s="75" t="inlineStr">
        <is>
          <t>14</t>
        </is>
      </c>
      <c r="B22" s="75" t="inlineStr">
        <is>
          <t>+ shophouse handover</t>
        </is>
      </c>
      <c r="C22" s="75" t="inlineStr">
        <is>
          <t>274</t>
        </is>
      </c>
      <c r="D22" s="75" t="inlineStr">
        <is>
          <t>VNDbn</t>
        </is>
      </c>
      <c r="E22" s="75" t="inlineStr">
        <is>
          <t>MAS</t>
        </is>
      </c>
      <c r="F22" s="76" t="inlineStr">
        <is>
          <t>~22% of the VND1,575bn guided first-year gross profit, taxed at 20%</t>
        </is>
      </c>
      <c r="G22" s="76" t="inlineStr">
        <is>
          <t>DELIBERATELY HAIRCUT — see conflicts below.</t>
        </is>
      </c>
    </row>
    <row r="23" ht="30" customHeight="1">
      <c r="A23" s="77" t="inlineStr">
        <is>
          <t>15</t>
        </is>
      </c>
      <c r="B23" s="77">
        <f> FY27F NPATMI</f>
        <v/>
      </c>
      <c r="C23" s="77" t="inlineStr">
        <is>
          <t>6,196</t>
        </is>
      </c>
      <c r="D23" s="77" t="inlineStr">
        <is>
          <t>VNDbn</t>
        </is>
      </c>
      <c r="E23" s="77" t="inlineStr">
        <is>
          <t>MAS</t>
        </is>
      </c>
      <c r="F23" s="78" t="inlineStr">
        <is>
          <t>rows 12+13+14</t>
        </is>
      </c>
      <c r="G23" s="78" t="inlineStr">
        <is>
          <t>+13.0% YoY.</t>
        </is>
      </c>
    </row>
    <row r="24" ht="18" customHeight="1">
      <c r="A24" s="71" t="inlineStr"/>
      <c r="B24" s="72" t="inlineStr">
        <is>
          <t>FY27F SCENARIOS</t>
        </is>
      </c>
      <c r="C24" s="71" t="inlineStr"/>
      <c r="D24" s="71" t="inlineStr"/>
      <c r="E24" s="71" t="inlineStr"/>
      <c r="F24" s="71" t="inlineStr"/>
      <c r="G24" s="71" t="inlineStr"/>
    </row>
    <row r="25" ht="30" customHeight="1">
      <c r="A25" s="73" t="inlineStr">
        <is>
          <t>16</t>
        </is>
      </c>
      <c r="B25" s="73" t="inlineStr">
        <is>
          <t>Low — leasing only, no shophouse</t>
        </is>
      </c>
      <c r="C25" s="73" t="inlineStr">
        <is>
          <t>5,922</t>
        </is>
      </c>
      <c r="D25" s="73" t="inlineStr">
        <is>
          <t>VNDbn</t>
        </is>
      </c>
      <c r="E25" s="73" t="inlineStr">
        <is>
          <t>MAS</t>
        </is>
      </c>
      <c r="F25" s="74" t="inlineStr">
        <is>
          <t>5,483 x 1.08</t>
        </is>
      </c>
      <c r="G25" s="74" t="inlineStr">
        <is>
          <t>+8.0% YoY.</t>
        </is>
      </c>
    </row>
    <row r="26" ht="30" customHeight="1">
      <c r="A26" s="77" t="inlineStr">
        <is>
          <t>17</t>
        </is>
      </c>
      <c r="B26" s="77" t="inlineStr">
        <is>
          <t>Base — adopted</t>
        </is>
      </c>
      <c r="C26" s="77" t="inlineStr">
        <is>
          <t>6,196</t>
        </is>
      </c>
      <c r="D26" s="77" t="inlineStr">
        <is>
          <t>VNDbn</t>
        </is>
      </c>
      <c r="E26" s="77" t="inlineStr">
        <is>
          <t>MAS</t>
        </is>
      </c>
      <c r="F26" s="78" t="inlineStr">
        <is>
          <t>row 15</t>
        </is>
      </c>
      <c r="G26" s="78" t="inlineStr">
        <is>
          <t>+13.0% YoY.</t>
        </is>
      </c>
    </row>
    <row r="27" ht="30" customHeight="1">
      <c r="A27" s="73" t="inlineStr">
        <is>
          <t>18</t>
        </is>
      </c>
      <c r="B27" s="73" t="inlineStr">
        <is>
          <t>High — full handover</t>
        </is>
      </c>
      <c r="C27" s="73" t="inlineStr">
        <is>
          <t>6,580</t>
        </is>
      </c>
      <c r="D27" s="73" t="inlineStr">
        <is>
          <t>VNDbn</t>
        </is>
      </c>
      <c r="E27" s="73" t="inlineStr">
        <is>
          <t>MAS</t>
        </is>
      </c>
      <c r="F27" s="74" t="inlineStr">
        <is>
          <t>5,483 x 1.20</t>
        </is>
      </c>
      <c r="G27" s="74" t="inlineStr">
        <is>
          <t>+20.0% YoY. MBS forecasts 6,502 (+19.2%) on a similar full-handover view.</t>
        </is>
      </c>
    </row>
    <row r="28" ht="18" customHeight="1">
      <c r="A28" s="71" t="inlineStr"/>
      <c r="B28" s="72" t="inlineStr">
        <is>
          <t>SHOPHOUSE PIPELINE — underlying facts</t>
        </is>
      </c>
      <c r="C28" s="71" t="inlineStr"/>
      <c r="D28" s="71" t="inlineStr"/>
      <c r="E28" s="71" t="inlineStr"/>
      <c r="F28" s="71" t="inlineStr"/>
      <c r="G28" s="71" t="inlineStr"/>
    </row>
    <row r="29" ht="30" customHeight="1">
      <c r="A29" s="73" t="inlineStr">
        <is>
          <t>19</t>
        </is>
      </c>
      <c r="B29" s="73" t="inlineStr">
        <is>
          <t>Deposit paid for shophouse land</t>
        </is>
      </c>
      <c r="C29" s="73" t="inlineStr">
        <is>
          <t>5,480</t>
        </is>
      </c>
      <c r="D29" s="73" t="inlineStr">
        <is>
          <t>VNDbn</t>
        </is>
      </c>
      <c r="E29" s="73" t="inlineStr">
        <is>
          <t>PRESS</t>
        </is>
      </c>
      <c r="F29" s="74" t="inlineStr">
        <is>
          <t>MarketTimes; deposit made end-2024 for ~109,800 sqm net floor</t>
        </is>
      </c>
      <c r="G29" s="74" t="inlineStr">
        <is>
          <t>~1,200 units at Vinhomes Royal Island (~1,000) + Golden Avenue (~280).</t>
        </is>
      </c>
    </row>
    <row r="30" ht="30" customHeight="1">
      <c r="A30" s="73" t="inlineStr">
        <is>
          <t>20</t>
        </is>
      </c>
      <c r="B30" s="73" t="inlineStr">
        <is>
          <t>Guided gross margin</t>
        </is>
      </c>
      <c r="C30" s="73" t="inlineStr">
        <is>
          <t>45</t>
        </is>
      </c>
      <c r="D30" s="73" t="inlineStr">
        <is>
          <t>%</t>
        </is>
      </c>
      <c r="E30" s="73" t="inlineStr">
        <is>
          <t>PRESS</t>
        </is>
      </c>
      <c r="F30" s="74" t="inlineStr">
        <is>
          <t>Broker/press coverage of the shophouse programme</t>
        </is>
      </c>
      <c r="G30" s="74" t="inlineStr">
        <is>
          <t>Single-source estimate.</t>
        </is>
      </c>
    </row>
    <row r="31" ht="30" customHeight="1">
      <c r="A31" s="73" t="inlineStr">
        <is>
          <t>21</t>
        </is>
      </c>
      <c r="B31" s="73" t="inlineStr">
        <is>
          <t>Guided gross profit, first handover yr</t>
        </is>
      </c>
      <c r="C31" s="73" t="inlineStr">
        <is>
          <t>1,575</t>
        </is>
      </c>
      <c r="D31" s="73" t="inlineStr">
        <is>
          <t>VNDbn</t>
        </is>
      </c>
      <c r="E31" s="73" t="inlineStr">
        <is>
          <t>PRESS</t>
        </is>
      </c>
      <c r="F31" s="74" t="inlineStr">
        <is>
          <t>CafeF, 10-Oct-2025</t>
        </is>
      </c>
      <c r="G31" s="79" t="inlineStr">
        <is>
          <t>UNVERIFIED against company disclosure — treat as indicative.</t>
        </is>
      </c>
    </row>
    <row r="32" ht="30" customHeight="1">
      <c r="A32" s="73" t="inlineStr">
        <is>
          <t>22</t>
        </is>
      </c>
      <c r="B32" s="73" t="inlineStr">
        <is>
          <t>Vincom Collection share of FY26 rev</t>
        </is>
      </c>
      <c r="C32" s="73" t="inlineStr">
        <is>
          <t>1.5-2</t>
        </is>
      </c>
      <c r="D32" s="73" t="inlineStr">
        <is>
          <t>%</t>
        </is>
      </c>
      <c r="E32" s="73" t="inlineStr">
        <is>
          <t>COMPANY</t>
        </is>
      </c>
      <c r="F32" s="74" t="inlineStr">
        <is>
          <t>2026 AGM, 23-Apr-2026</t>
        </is>
      </c>
      <c r="G32" s="74" t="inlineStr">
        <is>
          <t>Confirms the FY26 property contribution is small.</t>
        </is>
      </c>
    </row>
    <row r="33" ht="18" customHeight="1">
      <c r="A33" s="71" t="inlineStr"/>
      <c r="B33" s="72" t="inlineStr">
        <is>
          <t>KNOWN CONFLICTS &amp; OPEN ITEMS</t>
        </is>
      </c>
      <c r="C33" s="71" t="inlineStr"/>
      <c r="D33" s="71" t="inlineStr"/>
      <c r="E33" s="71" t="inlineStr"/>
      <c r="F33" s="71" t="inlineStr"/>
      <c r="G33" s="71" t="inlineStr"/>
    </row>
    <row r="34" ht="30" customHeight="1">
      <c r="A34" s="73" t="inlineStr">
        <is>
          <t>C1</t>
        </is>
      </c>
      <c r="B34" s="73" t="inlineStr">
        <is>
          <t>Shophouse timing has already slipped</t>
        </is>
      </c>
      <c r="C34" s="73" t="inlineStr"/>
      <c r="D34" s="73" t="inlineStr"/>
      <c r="E34" s="73" t="inlineStr"/>
      <c r="F34" s="74" t="inlineStr">
        <is>
          <t>CafeF (Oct-2025) put the profit step-up in FY26; the Apr-2026 AGM moved it to "from 2027"</t>
        </is>
      </c>
      <c r="G34" s="79" t="inlineStr">
        <is>
          <t>Reason for the haircut in row 14.</t>
        </is>
      </c>
    </row>
    <row r="35" ht="30" customHeight="1">
      <c r="A35" s="73" t="inlineStr">
        <is>
          <t>C2</t>
        </is>
      </c>
      <c r="B35" s="73" t="inlineStr">
        <is>
          <t>Historic volatility of the property line</t>
        </is>
      </c>
      <c r="C35" s="73" t="inlineStr">
        <is>
          <t>381-3,433</t>
        </is>
      </c>
      <c r="D35" s="73" t="inlineStr">
        <is>
          <t>VNDbn</t>
        </is>
      </c>
      <c r="E35" s="73" t="inlineStr">
        <is>
          <t>MODEL</t>
        </is>
      </c>
      <c r="F35" s="74" t="inlineStr">
        <is>
          <t>VRE model IS!r78 "Sale of investment properties", FY18-FY24 range</t>
        </is>
      </c>
      <c r="G35" s="79" t="inlineStr">
        <is>
          <t>Handover timing is the single largest swing factor in FY27.</t>
        </is>
      </c>
    </row>
    <row r="36" ht="30" customHeight="1">
      <c r="A36" s="73" t="inlineStr">
        <is>
          <t>C3</t>
        </is>
      </c>
      <c r="B36" s="73" t="inlineStr">
        <is>
          <t>BVPS / P-B basis</t>
        </is>
      </c>
      <c r="C36" s="73" t="inlineStr">
        <is>
          <t>22,798 / 25,513</t>
        </is>
      </c>
      <c r="D36" s="73" t="inlineStr">
        <is>
          <t>VND</t>
        </is>
      </c>
      <c r="E36" s="73" t="inlineStr">
        <is>
          <t>MODEL</t>
        </is>
      </c>
      <c r="F36" s="74" t="inlineStr">
        <is>
          <t>VRE model BS!L136 / M136</t>
        </is>
      </c>
      <c r="G36" s="79" t="inlineStr">
        <is>
          <t>Model balance sheet embeds LOWER earnings than the forecasts overridden into the Stock Pick tab, so P/B is modestly overstated.</t>
        </is>
      </c>
    </row>
    <row r="37" ht="30" customHeight="1">
      <c r="A37" s="73" t="inlineStr">
        <is>
          <t>C4</t>
        </is>
      </c>
      <c r="B37" s="73" t="inlineStr">
        <is>
          <t>FY28F</t>
        </is>
      </c>
      <c r="C37" s="73" t="inlineStr">
        <is>
          <t>n/a</t>
        </is>
      </c>
      <c r="D37" s="73" t="inlineStr"/>
      <c r="E37" s="73" t="inlineStr">
        <is>
          <t>—</t>
        </is>
      </c>
      <c r="F37" s="74" t="inlineStr">
        <is>
          <t>VRE model and Stock Pick tab both stop at FY27F</t>
        </is>
      </c>
      <c r="G37" s="74" t="inlineStr">
        <is>
          <t>No FY28 figure exists; none has been estimated.</t>
        </is>
      </c>
    </row>
    <row r="38" ht="30" customHeight="1">
      <c r="A38" s="73" t="inlineStr">
        <is>
          <t>C5</t>
        </is>
      </c>
      <c r="B38" s="73" t="inlineStr">
        <is>
          <t>A property-led FY27 creates a high FY28 base</t>
        </is>
      </c>
      <c r="C38" s="73" t="inlineStr"/>
      <c r="D38" s="73" t="inlineStr"/>
      <c r="E38" s="73" t="inlineStr">
        <is>
          <t>—</t>
        </is>
      </c>
      <c r="F38" s="74" t="inlineStr">
        <is>
          <t>Analytical note</t>
        </is>
      </c>
      <c r="G38" s="74" t="inlineStr">
        <is>
          <t>Same distortion FY25 one-offs created for FY26 optics.</t>
        </is>
      </c>
    </row>
  </sheetData>
  <mergeCells count="1">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Tho Hoang Van (AMIR)</dc:creator>
  <dcterms:created xmlns:dcterms="http://purl.org/dc/terms/" xmlns:xsi="http://www.w3.org/2001/XMLSchema-instance" xsi:type="dcterms:W3CDTF">2015-06-05T18:17:20Z</dcterms:created>
  <dcterms:modified xmlns:dcterms="http://purl.org/dc/terms/" xmlns:xsi="http://www.w3.org/2001/XMLSchema-instance" xsi:type="dcterms:W3CDTF">2026-07-28T06:48:41Z</dcterms:modified>
  <cp:lastModifiedBy>Hieu Le</cp:lastModifiedBy>
  <cp:lastPrinted>2025-08-04T11:59:03Z</cp:lastPrinted>
</cp:coreProperties>
</file>