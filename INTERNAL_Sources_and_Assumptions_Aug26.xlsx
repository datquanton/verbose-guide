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urces &amp; Assumptions" sheetId="1" state="visible" r:id="rId1"/>
    <sheet xmlns:r="http://schemas.openxmlformats.org/officeDocument/2006/relationships" name="VPB HotStock" sheetId="2" state="visible" r:id="rId2"/>
    <sheet xmlns:r="http://schemas.openxmlformats.org/officeDocument/2006/relationships" name="STB FPT 31Jul" sheetId="3" state="visible" r:id="rId3"/>
    <sheet xmlns:r="http://schemas.openxmlformats.org/officeDocument/2006/relationships" name="FPT Triangulation"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C00000"/>
      <sz val="11"/>
    </font>
    <font>
      <name val="Arial"/>
      <i val="1"/>
      <sz val="9"/>
    </font>
    <font>
      <name val="Arial"/>
      <b val="1"/>
      <sz val="10"/>
    </font>
    <font>
      <name val="Arial"/>
      <sz val="10"/>
    </font>
    <font>
      <name val="Arial"/>
      <color rgb="00C00000"/>
      <sz val="10"/>
    </font>
    <font>
      <b val="1"/>
    </font>
  </fonts>
  <fills count="4">
    <fill>
      <patternFill/>
    </fill>
    <fill>
      <patternFill patternType="gray125"/>
    </fill>
    <fill>
      <patternFill patternType="solid">
        <fgColor rgb="00D9D9D9"/>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pivotButton="0" quotePrefix="0" xfId="0"/>
    <xf numFmtId="0" fontId="4" fillId="2" borderId="0" pivotButton="0" quotePrefix="0" xfId="0"/>
    <xf numFmtId="0" fontId="3" fillId="2" borderId="0" pivotButton="0" quotePrefix="0" xfId="0"/>
    <xf numFmtId="0" fontId="4" fillId="0" borderId="0" pivotButton="0" quotePrefix="0" xfId="0"/>
    <xf numFmtId="0" fontId="4" fillId="0" borderId="0" applyAlignment="1" pivotButton="0" quotePrefix="0" xfId="0">
      <alignment vertical="top" wrapText="1"/>
    </xf>
    <xf numFmtId="0" fontId="4" fillId="3" borderId="0" pivotButton="0" quotePrefix="0" xfId="0"/>
    <xf numFmtId="0" fontId="4" fillId="3"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4"/>
  <sheetViews>
    <sheetView workbookViewId="0">
      <pane ySplit="5" topLeftCell="A6" activePane="bottomLeft" state="frozen"/>
      <selection pane="bottomLeft" activeCell="A1" sqref="A1"/>
    </sheetView>
  </sheetViews>
  <sheetFormatPr baseColWidth="8" defaultRowHeight="15"/>
  <cols>
    <col width="6" customWidth="1" min="1" max="1"/>
    <col width="38" customWidth="1" min="2" max="2"/>
    <col width="22" customWidth="1" min="3" max="3"/>
    <col width="8" customWidth="1" min="4" max="4"/>
    <col width="15" customWidth="1" min="5" max="5"/>
    <col width="52" customWidth="1" min="6" max="6"/>
    <col width="64" customWidth="1" min="7" max="7"/>
  </cols>
  <sheetData>
    <row r="1">
      <c r="A1" s="1" t="inlineStr">
        <is>
          <t>INTERNAL — NOT FOR DISTRIBUTION</t>
        </is>
      </c>
    </row>
    <row r="2">
      <c r="A2" s="2" t="inlineStr">
        <is>
          <t>Sources &amp; assumptions record for the Aug-26 Stock Pick file (VRE, FPT). Keep this file internal; the client-facing workbook carries no provenance tab.</t>
        </is>
      </c>
    </row>
    <row r="3" ht="30" customHeight="1">
      <c r="A3" s="2" t="inlineStr">
        <is>
          <t>RULE: no figure enters a client-facing cell without a source tag below. MODEL = a cell in our own model · COMPANY = disclosure/plan/AGM · PRESS = media (outlet + date) · MAS = our estimate, which must show its build · UNVERIFIED = single unconfirmed source (red). Conflicts are listed, not silently resolved.</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ht="18" customHeight="1">
      <c r="A6" s="4" t="inlineStr"/>
      <c r="B6" s="5" t="inlineStr">
        <is>
          <t>VRE — FY25 REPORTED</t>
        </is>
      </c>
      <c r="C6" s="4" t="inlineStr"/>
      <c r="D6" s="4" t="inlineStr"/>
      <c r="E6" s="4" t="inlineStr"/>
      <c r="F6" s="4" t="inlineStr"/>
      <c r="G6" s="4" t="inlineStr"/>
    </row>
    <row r="7" ht="32" customHeight="1">
      <c r="A7" s="6" t="inlineStr">
        <is>
          <t>1</t>
        </is>
      </c>
      <c r="B7" s="6" t="inlineStr">
        <is>
          <t>Net revenue FY25</t>
        </is>
      </c>
      <c r="C7" s="6" t="inlineStr">
        <is>
          <t>8,712</t>
        </is>
      </c>
      <c r="D7" s="6" t="inlineStr">
        <is>
          <t>VNDbn</t>
        </is>
      </c>
      <c r="E7" s="6" t="inlineStr">
        <is>
          <t>PRESS + COMPANY</t>
        </is>
      </c>
      <c r="F7" s="7" t="inlineStr">
        <is>
          <t>FY25 results coverage; cross-checks to the FY26 plan (10,132 stated +16% YoY -&gt; implies 8,734)</t>
        </is>
      </c>
      <c r="G7" s="7" t="inlineStr">
        <is>
          <t>RECONCILED. NOT an adjusted figure — FY25 one-offs sat in financial income, below the revenue line. Model Summary!K157 shows 9,074 but that column is a 2025F forecast, not an actual.</t>
        </is>
      </c>
    </row>
    <row r="8" ht="32" customHeight="1">
      <c r="A8" s="6" t="inlineStr">
        <is>
          <t>2</t>
        </is>
      </c>
      <c r="B8" s="6" t="inlineStr">
        <is>
          <t>Leasing revenue FY25</t>
        </is>
      </c>
      <c r="C8" s="6" t="inlineStr">
        <is>
          <t>8,400</t>
        </is>
      </c>
      <c r="D8" s="6" t="inlineStr">
        <is>
          <t>VNDbn</t>
        </is>
      </c>
      <c r="E8" s="6" t="inlineStr">
        <is>
          <t>PRESS</t>
        </is>
      </c>
      <c r="F8" s="7" t="inlineStr">
        <is>
          <t>FY25 results coverage, +8.3% YoY</t>
        </is>
      </c>
      <c r="G8" s="7" t="inlineStr">
        <is>
          <t>Single source; consistent with model leasing 2025F of 8,311.</t>
        </is>
      </c>
    </row>
    <row r="9" ht="32" customHeight="1">
      <c r="A9" s="6" t="inlineStr">
        <is>
          <t>3</t>
        </is>
      </c>
      <c r="B9" s="6" t="inlineStr">
        <is>
          <t>NPAT FY25 (reported)</t>
        </is>
      </c>
      <c r="C9" s="6" t="inlineStr">
        <is>
          <t>6,446</t>
        </is>
      </c>
      <c r="D9" s="6" t="inlineStr">
        <is>
          <t>VNDbn</t>
        </is>
      </c>
      <c r="E9" s="6" t="inlineStr">
        <is>
          <t>COMPANY</t>
        </is>
      </c>
      <c r="F9" s="7" t="inlineStr">
        <is>
          <t>FY25 results announcement, +57.3% YoY</t>
        </is>
      </c>
      <c r="G9" s="7" t="inlineStr">
        <is>
          <t>Confirmed by multiple outlets.</t>
        </is>
      </c>
    </row>
    <row r="10" ht="32" customHeight="1">
      <c r="A10" s="6" t="inlineStr">
        <is>
          <t>4</t>
        </is>
      </c>
      <c r="B10" s="6" t="inlineStr">
        <is>
          <t>NPAT FY25 (adjusted)</t>
        </is>
      </c>
      <c r="C10" s="6" t="inlineStr">
        <is>
          <t>4,694</t>
        </is>
      </c>
      <c r="D10" s="6" t="inlineStr">
        <is>
          <t>VNDbn</t>
        </is>
      </c>
      <c r="E10" s="6" t="inlineStr">
        <is>
          <t>COMPANY</t>
        </is>
      </c>
      <c r="F10" s="7" t="inlineStr">
        <is>
          <t>Ex one-off financial income (Vincom Center Nguyen Chi Thanh stake transfer), +16.3% YoY</t>
        </is>
      </c>
      <c r="G10" s="7" t="inlineStr">
        <is>
          <t>"Adjusted" applies to PROFIT ONLY.</t>
        </is>
      </c>
    </row>
    <row r="11" ht="32" customHeight="1">
      <c r="A11" s="6" t="inlineStr">
        <is>
          <t>5</t>
        </is>
      </c>
      <c r="B11" s="6" t="inlineStr">
        <is>
          <t>NPAT FY25 (model base)</t>
        </is>
      </c>
      <c r="C11" s="6" t="inlineStr">
        <is>
          <t>6,367</t>
        </is>
      </c>
      <c r="D11" s="6" t="inlineStr">
        <is>
          <t>VNDbn</t>
        </is>
      </c>
      <c r="E11" s="6" t="inlineStr">
        <is>
          <t>MODEL</t>
        </is>
      </c>
      <c r="F11" s="7" t="inlineStr">
        <is>
          <t>VRE_1Q26_v2_linked2.xlsx Summary!K158</t>
        </is>
      </c>
      <c r="G11" s="7" t="inlineStr">
        <is>
          <t>Col-H growth denominator, for cross-ticker consistency; differs from the 6,446 reported.</t>
        </is>
      </c>
    </row>
    <row r="12" ht="18" customHeight="1">
      <c r="A12" s="4" t="inlineStr"/>
      <c r="B12" s="5" t="inlineStr">
        <is>
          <t>VRE — 1Q26 REPORTED</t>
        </is>
      </c>
      <c r="C12" s="4" t="inlineStr"/>
      <c r="D12" s="4" t="inlineStr"/>
      <c r="E12" s="4" t="inlineStr"/>
      <c r="F12" s="4" t="inlineStr"/>
      <c r="G12" s="4" t="inlineStr"/>
    </row>
    <row r="13" ht="32" customHeight="1">
      <c r="A13" s="6" t="inlineStr">
        <is>
          <t>6</t>
        </is>
      </c>
      <c r="B13" s="6" t="inlineStr">
        <is>
          <t>Net revenue 1Q26</t>
        </is>
      </c>
      <c r="C13" s="6" t="inlineStr">
        <is>
          <t>2,574</t>
        </is>
      </c>
      <c r="D13" s="6" t="inlineStr">
        <is>
          <t>VNDbn</t>
        </is>
      </c>
      <c r="E13" s="6" t="inlineStr">
        <is>
          <t>PRESS</t>
        </is>
      </c>
      <c r="F13" s="7" t="inlineStr">
        <is>
          <t>1Q26 results coverage, +20.7% YoY</t>
        </is>
      </c>
      <c r="G13" s="7" t="inlineStr">
        <is>
          <t>Reported. An earlier draft wrongly labelled this "adjusted" — no source described it that way. Corrected.</t>
        </is>
      </c>
    </row>
    <row r="14" ht="32" customHeight="1">
      <c r="A14" s="6" t="inlineStr">
        <is>
          <t>7</t>
        </is>
      </c>
      <c r="B14" s="6" t="inlineStr">
        <is>
          <t>NPAT 1Q26</t>
        </is>
      </c>
      <c r="C14" s="6" t="inlineStr">
        <is>
          <t>1,606</t>
        </is>
      </c>
      <c r="D14" s="6" t="inlineStr">
        <is>
          <t>VNDbn</t>
        </is>
      </c>
      <c r="E14" s="6" t="inlineStr">
        <is>
          <t>PRESS</t>
        </is>
      </c>
      <c r="F14" s="7" t="inlineStr">
        <is>
          <t>1Q26 results coverage, +36.4% YoY</t>
        </is>
      </c>
      <c r="G14" s="7" t="inlineStr">
        <is>
          <t>Confirmed by multiple outlets.</t>
        </is>
      </c>
    </row>
    <row r="15" ht="18" customHeight="1">
      <c r="A15" s="4" t="inlineStr"/>
      <c r="B15" s="5" t="inlineStr">
        <is>
          <t>VRE — FY26F</t>
        </is>
      </c>
      <c r="C15" s="4" t="inlineStr"/>
      <c r="D15" s="4" t="inlineStr"/>
      <c r="E15" s="4" t="inlineStr"/>
      <c r="F15" s="4" t="inlineStr"/>
      <c r="G15" s="4" t="inlineStr"/>
    </row>
    <row r="16" ht="32" customHeight="1">
      <c r="A16" s="6" t="inlineStr">
        <is>
          <t>8</t>
        </is>
      </c>
      <c r="B16" s="6" t="inlineStr">
        <is>
          <t>FY26 revenue plan</t>
        </is>
      </c>
      <c r="C16" s="6" t="inlineStr">
        <is>
          <t>10,132</t>
        </is>
      </c>
      <c r="D16" s="6" t="inlineStr">
        <is>
          <t>VNDbn</t>
        </is>
      </c>
      <c r="E16" s="6" t="inlineStr">
        <is>
          <t>COMPANY</t>
        </is>
      </c>
      <c r="F16" s="7" t="inlineStr">
        <is>
          <t>2026 AGM, 23-Apr-2026</t>
        </is>
      </c>
      <c r="G16" s="7" t="inlineStr">
        <is>
          <t>Board-approved.</t>
        </is>
      </c>
    </row>
    <row r="17" ht="32" customHeight="1">
      <c r="A17" s="6" t="inlineStr">
        <is>
          <t>9</t>
        </is>
      </c>
      <c r="B17" s="6" t="inlineStr">
        <is>
          <t>FY26 NPAT plan</t>
        </is>
      </c>
      <c r="C17" s="6" t="inlineStr">
        <is>
          <t>5,375</t>
        </is>
      </c>
      <c r="D17" s="6" t="inlineStr">
        <is>
          <t>VNDbn</t>
        </is>
      </c>
      <c r="E17" s="6" t="inlineStr">
        <is>
          <t>COMPANY</t>
        </is>
      </c>
      <c r="F17" s="7" t="inlineStr">
        <is>
          <t>2026 AGM, 23-Apr-2026</t>
        </is>
      </c>
      <c r="G17" s="7" t="inlineStr">
        <is>
          <t>Board-approved.</t>
        </is>
      </c>
    </row>
    <row r="18" ht="32" customHeight="1">
      <c r="A18" s="6" t="inlineStr">
        <is>
          <t>10</t>
        </is>
      </c>
      <c r="B18" s="6" t="inlineStr">
        <is>
          <t>MAS FY26F net revenue</t>
        </is>
      </c>
      <c r="C18" s="6" t="inlineStr">
        <is>
          <t>10,639</t>
        </is>
      </c>
      <c r="D18" s="6" t="inlineStr">
        <is>
          <t>VNDbn</t>
        </is>
      </c>
      <c r="E18" s="6" t="inlineStr">
        <is>
          <t>MAS</t>
        </is>
      </c>
      <c r="F18" s="7" t="inlineStr">
        <is>
          <t>plan x 1.05, per analyst instruction</t>
        </is>
      </c>
      <c r="G18" s="7" t="inlineStr">
        <is>
          <t>—</t>
        </is>
      </c>
    </row>
    <row r="19" ht="32" customHeight="1">
      <c r="A19" s="6" t="inlineStr">
        <is>
          <t>11</t>
        </is>
      </c>
      <c r="B19" s="6" t="inlineStr">
        <is>
          <t>MAS FY26F NPATMI</t>
        </is>
      </c>
      <c r="C19" s="6" t="inlineStr">
        <is>
          <t>5,483</t>
        </is>
      </c>
      <c r="D19" s="6" t="inlineStr">
        <is>
          <t>VNDbn</t>
        </is>
      </c>
      <c r="E19" s="6" t="inlineStr">
        <is>
          <t>MAS</t>
        </is>
      </c>
      <c r="F19" s="7" t="inlineStr">
        <is>
          <t>plan x 1.02, per analyst instruction</t>
        </is>
      </c>
      <c r="G19" s="7" t="inlineStr">
        <is>
          <t>Implies a 51.5% net margin vs ~53.0% in plan.</t>
        </is>
      </c>
    </row>
    <row r="20" ht="18" customHeight="1">
      <c r="A20" s="4" t="inlineStr"/>
      <c r="B20" s="5" t="inlineStr">
        <is>
          <t>VRE — FY27F BUILD (adopted)</t>
        </is>
      </c>
      <c r="C20" s="4" t="inlineStr"/>
      <c r="D20" s="4" t="inlineStr"/>
      <c r="E20" s="4" t="inlineStr"/>
      <c r="F20" s="4" t="inlineStr"/>
      <c r="G20" s="4" t="inlineStr"/>
    </row>
    <row r="21" ht="32" customHeight="1">
      <c r="A21" s="6" t="inlineStr">
        <is>
          <t>12</t>
        </is>
      </c>
      <c r="B21" s="6" t="inlineStr">
        <is>
          <t>FY26F NPATMI base</t>
        </is>
      </c>
      <c r="C21" s="6" t="inlineStr">
        <is>
          <t>5,483</t>
        </is>
      </c>
      <c r="D21" s="6" t="inlineStr">
        <is>
          <t>VNDbn</t>
        </is>
      </c>
      <c r="E21" s="6" t="inlineStr">
        <is>
          <t>MAS</t>
        </is>
      </c>
      <c r="F21" s="7" t="inlineStr">
        <is>
          <t>row 11</t>
        </is>
      </c>
      <c r="G21" s="7" t="inlineStr">
        <is>
          <t>—</t>
        </is>
      </c>
    </row>
    <row r="22" ht="32" customHeight="1">
      <c r="A22" s="6" t="inlineStr">
        <is>
          <t>13</t>
        </is>
      </c>
      <c r="B22" s="6" t="inlineStr">
        <is>
          <t>+ organic leasing growth</t>
        </is>
      </c>
      <c r="C22" s="6" t="inlineStr">
        <is>
          <t>439</t>
        </is>
      </c>
      <c r="D22" s="6" t="inlineStr">
        <is>
          <t>VNDbn</t>
        </is>
      </c>
      <c r="E22" s="6" t="inlineStr">
        <is>
          <t>MAS</t>
        </is>
      </c>
      <c r="F22" s="7" t="inlineStr">
        <is>
          <t>+8.0% on base: 2026 GFA additions annualise; occupancy 88.1% (end-2025) recovering</t>
        </is>
      </c>
      <c r="G22" s="7" t="inlineStr">
        <is>
          <t>Model GFA +5.2%; +8% profit growth assumes modest operating leverage.</t>
        </is>
      </c>
    </row>
    <row r="23" ht="32" customHeight="1">
      <c r="A23" s="8" t="inlineStr">
        <is>
          <t>14</t>
        </is>
      </c>
      <c r="B23" s="8" t="inlineStr">
        <is>
          <t>+ shophouse handover</t>
        </is>
      </c>
      <c r="C23" s="8" t="inlineStr">
        <is>
          <t>383</t>
        </is>
      </c>
      <c r="D23" s="8" t="inlineStr">
        <is>
          <t>VNDbn</t>
        </is>
      </c>
      <c r="E23" s="8" t="inlineStr">
        <is>
          <t>MAS</t>
        </is>
      </c>
      <c r="F23" s="9" t="inlineStr">
        <is>
          <t>~30% of the VND1,575bn guided first-year gross profit, taxed at 20%</t>
        </is>
      </c>
      <c r="G23" s="9" t="inlineStr">
        <is>
          <t>DELIBERATELY HAIRCUT — see conflicts below.</t>
        </is>
      </c>
    </row>
    <row r="24" ht="32" customHeight="1">
      <c r="A24" s="10" t="inlineStr">
        <is>
          <t>15</t>
        </is>
      </c>
      <c r="B24" s="10">
        <f> FY27F NPATMI</f>
        <v/>
      </c>
      <c r="C24" s="10" t="inlineStr">
        <is>
          <t>6,305</t>
        </is>
      </c>
      <c r="D24" s="10" t="inlineStr">
        <is>
          <t>VNDbn</t>
        </is>
      </c>
      <c r="E24" s="10" t="inlineStr">
        <is>
          <t>MAS</t>
        </is>
      </c>
      <c r="F24" s="11" t="inlineStr">
        <is>
          <t>rows 12+13+14</t>
        </is>
      </c>
      <c r="G24" s="11" t="inlineStr">
        <is>
          <t>+15.0% YoY.</t>
        </is>
      </c>
    </row>
    <row r="25" ht="18" customHeight="1">
      <c r="A25" s="4" t="inlineStr"/>
      <c r="B25" s="5" t="inlineStr">
        <is>
          <t>FY27F SCENARIOS</t>
        </is>
      </c>
      <c r="C25" s="4" t="inlineStr"/>
      <c r="D25" s="4" t="inlineStr"/>
      <c r="E25" s="4" t="inlineStr"/>
      <c r="F25" s="4" t="inlineStr"/>
      <c r="G25" s="4" t="inlineStr"/>
    </row>
    <row r="26" ht="32" customHeight="1">
      <c r="A26" s="6" t="inlineStr">
        <is>
          <t>16</t>
        </is>
      </c>
      <c r="B26" s="6" t="inlineStr">
        <is>
          <t>Low — leasing only</t>
        </is>
      </c>
      <c r="C26" s="6" t="inlineStr">
        <is>
          <t>5,922</t>
        </is>
      </c>
      <c r="D26" s="6" t="inlineStr">
        <is>
          <t>VNDbn</t>
        </is>
      </c>
      <c r="E26" s="6" t="inlineStr">
        <is>
          <t>MAS</t>
        </is>
      </c>
      <c r="F26" s="7" t="inlineStr">
        <is>
          <t>5,483 x 1.08</t>
        </is>
      </c>
      <c r="G26" s="7" t="inlineStr">
        <is>
          <t>+8.0%. Credits nothing to shophouses.</t>
        </is>
      </c>
    </row>
    <row r="27" ht="32" customHeight="1">
      <c r="A27" s="10" t="inlineStr">
        <is>
          <t>17</t>
        </is>
      </c>
      <c r="B27" s="10" t="inlineStr">
        <is>
          <t>Base — adopted</t>
        </is>
      </c>
      <c r="C27" s="10" t="inlineStr">
        <is>
          <t>6,305</t>
        </is>
      </c>
      <c r="D27" s="10" t="inlineStr">
        <is>
          <t>VNDbn</t>
        </is>
      </c>
      <c r="E27" s="10" t="inlineStr">
        <is>
          <t>MAS</t>
        </is>
      </c>
      <c r="F27" s="11" t="inlineStr">
        <is>
          <t>row 15</t>
        </is>
      </c>
      <c r="G27" s="11" t="inlineStr">
        <is>
          <t>+15.0%. ~30% of guided shophouse GP.</t>
        </is>
      </c>
    </row>
    <row r="28" ht="32" customHeight="1">
      <c r="A28" s="6" t="inlineStr">
        <is>
          <t>18</t>
        </is>
      </c>
      <c r="B28" s="6" t="inlineStr">
        <is>
          <t>High — full handover</t>
        </is>
      </c>
      <c r="C28" s="6" t="inlineStr">
        <is>
          <t>6,580</t>
        </is>
      </c>
      <c r="D28" s="6" t="inlineStr">
        <is>
          <t>VNDbn</t>
        </is>
      </c>
      <c r="E28" s="6" t="inlineStr">
        <is>
          <t>MAS</t>
        </is>
      </c>
      <c r="F28" s="7" t="inlineStr">
        <is>
          <t>5,483 x 1.20</t>
        </is>
      </c>
      <c r="G28" s="7" t="inlineStr">
        <is>
          <t>+20.0%. a competing broker forecasts 6,502 (+19.2%) on a similar view.</t>
        </is>
      </c>
    </row>
    <row r="29" ht="18" customHeight="1">
      <c r="A29" s="4" t="inlineStr"/>
      <c r="B29" s="5" t="inlineStr">
        <is>
          <t>SHOPHOUSE PIPELINE — underlying facts</t>
        </is>
      </c>
      <c r="C29" s="4" t="inlineStr"/>
      <c r="D29" s="4" t="inlineStr"/>
      <c r="E29" s="4" t="inlineStr"/>
      <c r="F29" s="4" t="inlineStr"/>
      <c r="G29" s="4" t="inlineStr"/>
    </row>
    <row r="30" ht="32" customHeight="1">
      <c r="A30" s="6" t="inlineStr">
        <is>
          <t>19</t>
        </is>
      </c>
      <c r="B30" s="6" t="inlineStr">
        <is>
          <t>Deposit — for LAND, not built units</t>
        </is>
      </c>
      <c r="C30" s="6" t="inlineStr">
        <is>
          <t>5,480</t>
        </is>
      </c>
      <c r="D30" s="6" t="inlineStr">
        <is>
          <t>VNDbn</t>
        </is>
      </c>
      <c r="E30" s="6" t="inlineStr">
        <is>
          <t>PRESS</t>
        </is>
      </c>
      <c r="F30" s="7" t="inlineStr">
        <is>
          <t>MarketTimes / Nguoi Quan Sat, Feb-2025: VND5,480bn deposited end-2024 with Vinhomes/Vingroup for COMMERCIAL LAND PLOTS, 109,800 sqm net floor = ~1,200 shophouses</t>
        </is>
      </c>
      <c r="G30" s="7" t="inlineStr">
        <is>
          <t>CORRECTED. A draft claimed VRE resells "finished stock" so handover follows sale within months — WRONG. The deposit bought land; VRE develops. Revenue books on handover, so a 2027 contribution requires construction complete by then, which is not evidenced. Marketing-site claims that Royal Island construction completes in 2026 are NOT an acceptable source. Leasing-only FY27F would be 5,922 (+8.0%).</t>
        </is>
      </c>
    </row>
    <row r="31" ht="32" customHeight="1">
      <c r="A31" s="6" t="inlineStr">
        <is>
          <t>20</t>
        </is>
      </c>
      <c r="B31" s="6" t="inlineStr">
        <is>
          <t>Guided gross margin</t>
        </is>
      </c>
      <c r="C31" s="6" t="inlineStr">
        <is>
          <t>45</t>
        </is>
      </c>
      <c r="D31" s="6" t="inlineStr">
        <is>
          <t>%</t>
        </is>
      </c>
      <c r="E31" s="6" t="inlineStr">
        <is>
          <t>PRESS</t>
        </is>
      </c>
      <c r="F31" s="7" t="inlineStr">
        <is>
          <t>Broker/press coverage</t>
        </is>
      </c>
      <c r="G31" s="7" t="inlineStr">
        <is>
          <t>Single-source estimate.</t>
        </is>
      </c>
    </row>
    <row r="32" ht="32" customHeight="1">
      <c r="A32" s="6" t="inlineStr">
        <is>
          <t>21</t>
        </is>
      </c>
      <c r="B32" s="6" t="inlineStr">
        <is>
          <t>Guided gross profit, 1st handover yr</t>
        </is>
      </c>
      <c r="C32" s="6" t="inlineStr">
        <is>
          <t>1,575</t>
        </is>
      </c>
      <c r="D32" s="6" t="inlineStr">
        <is>
          <t>VNDbn</t>
        </is>
      </c>
      <c r="E32" s="6" t="inlineStr">
        <is>
          <t>PRESS</t>
        </is>
      </c>
      <c r="F32" s="7" t="inlineStr">
        <is>
          <t>CafeF, 10-Oct-2025</t>
        </is>
      </c>
      <c r="G32" s="12" t="inlineStr">
        <is>
          <t>UNVERIFIED against company disclosure — indicative only. This is the number our row-14 haircut is applied to.</t>
        </is>
      </c>
    </row>
    <row r="33" ht="32" customHeight="1">
      <c r="A33" s="6" t="inlineStr">
        <is>
          <t>22</t>
        </is>
      </c>
      <c r="B33" s="6" t="inlineStr">
        <is>
          <t>Vincom Collection share of FY26 rev</t>
        </is>
      </c>
      <c r="C33" s="6" t="inlineStr">
        <is>
          <t>1.5-2</t>
        </is>
      </c>
      <c r="D33" s="6" t="inlineStr">
        <is>
          <t>%</t>
        </is>
      </c>
      <c r="E33" s="6" t="inlineStr">
        <is>
          <t>COMPANY</t>
        </is>
      </c>
      <c r="F33" s="7" t="inlineStr">
        <is>
          <t>2026 AGM, 23-Apr-2026</t>
        </is>
      </c>
      <c r="G33" s="7" t="inlineStr">
        <is>
          <t>Vincom Collection = operating/managing shophouse streets (rental and management income, contributes from 2026). This is a DIFFERENT line from shophouse unit sales, whose profit depends on handover. An earlier draft used the former as evidence for the latter.</t>
        </is>
      </c>
    </row>
    <row r="34" ht="18" customHeight="1">
      <c r="A34" s="4" t="inlineStr"/>
      <c r="B34" s="5" t="inlineStr">
        <is>
          <t>KNOWN CONFLICTS &amp; OPEN ITEMS</t>
        </is>
      </c>
      <c r="C34" s="4" t="inlineStr"/>
      <c r="D34" s="4" t="inlineStr"/>
      <c r="E34" s="4" t="inlineStr"/>
      <c r="F34" s="4" t="inlineStr"/>
      <c r="G34" s="4" t="inlineStr"/>
    </row>
    <row r="35" ht="32" customHeight="1">
      <c r="A35" s="6" t="inlineStr">
        <is>
          <t>C1</t>
        </is>
      </c>
      <c r="B35" s="6" t="inlineStr">
        <is>
          <t>Shophouse timing has slipped TWICE</t>
        </is>
      </c>
      <c r="C35" s="6" t="inlineStr"/>
      <c r="D35" s="6" t="inlineStr"/>
      <c r="E35" s="6" t="inlineStr"/>
      <c r="F35" s="7" t="inlineStr">
        <is>
          <t>Feb-2025 press: sales 2025, handover 2026. Oct-2025 press: profit step-up in FY26. Apr-2026 AGM: sales open from 2027 (Vu Yen/Royal Island, Mong Cai) and 2028 (Can Gio)</t>
        </is>
      </c>
      <c r="G35" s="12" t="inlineStr">
        <is>
          <t>CORRECTED. An earlier draft said "management expects to contribute from 2027" — that was a journalist's passive phrasing, not a management statement, and it conflated SALES LAUNCH with REVENUE RECOGNITION. Booking case is NOT established: VRE bought land and develops, so 2027 revenue depends on construction completing alongside the sales launch. Risk: sales opening late in 2027 pushes recognition to 2028.</t>
        </is>
      </c>
    </row>
    <row r="36" ht="32" customHeight="1">
      <c r="A36" s="6" t="inlineStr">
        <is>
          <t>C2</t>
        </is>
      </c>
      <c r="B36" s="6" t="inlineStr">
        <is>
          <t>Historic volatility of the property line</t>
        </is>
      </c>
      <c r="C36" s="6" t="inlineStr">
        <is>
          <t>381-3,433</t>
        </is>
      </c>
      <c r="D36" s="6" t="inlineStr">
        <is>
          <t>VNDbn</t>
        </is>
      </c>
      <c r="E36" s="6" t="inlineStr">
        <is>
          <t>MODEL</t>
        </is>
      </c>
      <c r="F36" s="7" t="inlineStr">
        <is>
          <t>VRE model IS!r78 "Sale of investment properties", FY18-FY24 range</t>
        </is>
      </c>
      <c r="G36" s="12" t="inlineStr">
        <is>
          <t>Handover timing is the largest single swing factor in FY27.</t>
        </is>
      </c>
    </row>
    <row r="37" ht="32" customHeight="1">
      <c r="A37" s="6" t="inlineStr">
        <is>
          <t>C3</t>
        </is>
      </c>
      <c r="B37" s="6" t="inlineStr">
        <is>
          <t>BVPS / P-B basis — RESTATED</t>
        </is>
      </c>
      <c r="C37" s="6" t="inlineStr">
        <is>
          <t>21,563 / 23,283</t>
        </is>
      </c>
      <c r="D37" s="6" t="inlineStr">
        <is>
          <t>VND</t>
        </is>
      </c>
      <c r="E37" s="6" t="inlineStr">
        <is>
          <t>MAS</t>
        </is>
      </c>
      <c r="F37" s="7" t="inlineStr">
        <is>
          <t>Rebuilt from FY25 BVPS 20,196 (VRE model BS!K136) + our NPATMI less the ~VND2.3tn cash dividend</t>
        </is>
      </c>
      <c r="G37" s="12" t="inlineStr">
        <is>
          <t>Model BS!L136/M136 (22,798/25,513) NOT used: it embeds FY26/27 NI of 5,913/6,170 rather than our 5,483/6,305, its equity roll-forward returns #DIV/0! in the forecast columns (Equity!L16/M16), and it assumes ZERO dividends despite the first cash payout in 7 years (~VND2.3tn, Jul-2026). Restating lifts P/B from 1.23x/1.10x to 1.30x/1.20x. FY27 assumes the dividend repeats; if not, BVPS27 = 24,270 and P/B27 = 1.15x.</t>
        </is>
      </c>
    </row>
    <row r="38" ht="32" customHeight="1">
      <c r="A38" s="6" t="inlineStr">
        <is>
          <t>C4</t>
        </is>
      </c>
      <c r="B38" s="6" t="inlineStr">
        <is>
          <t>FY28F</t>
        </is>
      </c>
      <c r="C38" s="6" t="inlineStr">
        <is>
          <t>n/a</t>
        </is>
      </c>
      <c r="D38" s="6" t="inlineStr"/>
      <c r="E38" s="6" t="inlineStr">
        <is>
          <t>—</t>
        </is>
      </c>
      <c r="F38" s="7" t="inlineStr">
        <is>
          <t>VRE model and Stock Pick tab both stop at FY27F</t>
        </is>
      </c>
      <c r="G38" s="7" t="inlineStr">
        <is>
          <t>No FY28 figure exists; none has been estimated.</t>
        </is>
      </c>
    </row>
    <row r="39" ht="32" customHeight="1">
      <c r="A39" s="6" t="inlineStr">
        <is>
          <t>C5</t>
        </is>
      </c>
      <c r="B39" s="6" t="inlineStr">
        <is>
          <t>A property-led FY27 creates a high FY28 base</t>
        </is>
      </c>
      <c r="C39" s="6" t="inlineStr"/>
      <c r="D39" s="6" t="inlineStr"/>
      <c r="E39" s="6" t="inlineStr">
        <is>
          <t>—</t>
        </is>
      </c>
      <c r="F39" s="7" t="inlineStr">
        <is>
          <t>Analytical note</t>
        </is>
      </c>
      <c r="G39" s="7" t="inlineStr">
        <is>
          <t>Same distortion the FY25 one-offs created for FY26 optics.</t>
        </is>
      </c>
    </row>
    <row r="40" ht="18" customHeight="1">
      <c r="A40" s="4" t="inlineStr"/>
      <c r="B40" s="5" t="inlineStr">
        <is>
          <t>FPT — key overrides</t>
        </is>
      </c>
      <c r="C40" s="4" t="inlineStr"/>
      <c r="D40" s="4" t="inlineStr"/>
      <c r="E40" s="4" t="inlineStr"/>
      <c r="F40" s="4" t="inlineStr"/>
      <c r="G40" s="4" t="inlineStr"/>
    </row>
    <row r="41" ht="32" customHeight="1">
      <c r="A41" s="6" t="inlineStr">
        <is>
          <t>F1</t>
        </is>
      </c>
      <c r="B41" s="6" t="inlineStr">
        <is>
          <t>FY26F/27F/28F NPATMI</t>
        </is>
      </c>
      <c r="C41" s="6" t="inlineStr">
        <is>
          <t>10,943 / 12,518 / 14,156</t>
        </is>
      </c>
      <c r="D41" s="6" t="inlineStr">
        <is>
          <t>VNDbn</t>
        </is>
      </c>
      <c r="E41" s="6" t="inlineStr">
        <is>
          <t>MAS</t>
        </is>
      </c>
      <c r="F41" s="7" t="inlineStr">
        <is>
          <t>Model recalibration; Domestic IT +14.0%, Telecom associates +15% p.a.</t>
        </is>
      </c>
      <c r="G41" s="7" t="inlineStr">
        <is>
          <t>Headcount held at 45,000 per instruction, so FY26F lands at +15.6% not +15.0%.</t>
        </is>
      </c>
    </row>
    <row r="42" ht="32" customHeight="1">
      <c r="A42" s="6" t="inlineStr">
        <is>
          <t>F2</t>
        </is>
      </c>
      <c r="B42" s="6" t="inlineStr">
        <is>
          <t>Target price</t>
        </is>
      </c>
      <c r="C42" s="6" t="inlineStr">
        <is>
          <t>78,750</t>
        </is>
      </c>
      <c r="D42" s="6" t="inlineStr">
        <is>
          <t>VND</t>
        </is>
      </c>
      <c r="E42" s="6" t="inlineStr">
        <is>
          <t>MAS</t>
        </is>
      </c>
      <c r="F42" s="7" t="inlineStr">
        <is>
          <t>Set top-down at +25% on the ~63,000 price (senior-manager instruction)</t>
        </is>
      </c>
      <c r="G42" s="12" t="inlineStr">
        <is>
          <t>Valuation sheet aligned via ERP 8.97% and terminal g 1.5% — an override, not a bottom-up DCF output.</t>
        </is>
      </c>
    </row>
    <row r="43" ht="32" customHeight="1">
      <c r="A43" s="6" t="inlineStr">
        <is>
          <t>F3</t>
        </is>
      </c>
      <c r="B43" s="6" t="inlineStr">
        <is>
          <t>1H26 actuals</t>
        </is>
      </c>
      <c r="C43" s="6" t="inlineStr">
        <is>
          <t>26,269 rev / 5,714 PBT</t>
        </is>
      </c>
      <c r="D43" s="6" t="inlineStr">
        <is>
          <t>VNDbn</t>
        </is>
      </c>
      <c r="E43" s="6" t="inlineStr">
        <is>
          <t>COMPANY</t>
        </is>
      </c>
      <c r="F43" s="7" t="inlineStr">
        <is>
          <t>FPT 1H26 release, 16-Jul-2026</t>
        </is>
      </c>
      <c r="G43" s="7" t="inlineStr">
        <is>
          <t>+12.6% / +18.1% YoY.</t>
        </is>
      </c>
    </row>
    <row r="44" ht="32" customHeight="1">
      <c r="A44" s="6" t="inlineStr">
        <is>
          <t>F4</t>
        </is>
      </c>
      <c r="B44" s="6" t="inlineStr">
        <is>
          <t>2Q26 NPATMI +14% YoY</t>
        </is>
      </c>
      <c r="C44" s="6" t="inlineStr">
        <is>
          <t>2,568</t>
        </is>
      </c>
      <c r="D44" s="6" t="inlineStr">
        <is>
          <t>VNDbn</t>
        </is>
      </c>
      <c r="E44" s="6" t="inlineStr">
        <is>
          <t>PRESS</t>
        </is>
      </c>
      <c r="F44" s="7" t="inlineStr">
        <is>
          <t>CafeF, 16-Jul-2026</t>
        </is>
      </c>
      <c r="G44" s="12" t="inlineStr">
        <is>
          <t>Note: the +14% belongs to NPATMI, NOT PBT — corrected after an earlier draft misattributed it.</t>
        </is>
      </c>
    </row>
  </sheetData>
  <mergeCells count="2">
    <mergeCell ref="A3:G3"/>
    <mergeCell ref="A2:G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9"/>
  <sheetViews>
    <sheetView workbookViewId="0">
      <selection activeCell="A1" sqref="A1"/>
    </sheetView>
  </sheetViews>
  <sheetFormatPr baseColWidth="8" defaultRowHeight="15"/>
  <cols>
    <col width="6" customWidth="1" min="1" max="1"/>
    <col width="40" customWidth="1" min="2" max="2"/>
    <col width="20" customWidth="1" min="3" max="3"/>
    <col width="8" customWidth="1" min="4" max="4"/>
    <col width="18" customWidth="1" min="5" max="5"/>
    <col width="56" customWidth="1" min="6" max="6"/>
    <col width="68" customWidth="1" min="7" max="7"/>
  </cols>
  <sheetData>
    <row r="1">
      <c r="A1" s="1" t="inlineStr">
        <is>
          <t>INTERNAL — NOT FOR DISTRIBUTION</t>
        </is>
      </c>
    </row>
    <row r="2">
      <c r="A2" s="2" t="inlineStr">
        <is>
          <t>Sources &amp; assumptions record — VPB HotStock, broadcast 31/07/2026 (Đạt Quân)</t>
        </is>
      </c>
    </row>
    <row r="3">
      <c r="A3" s="2" t="inlineStr">
        <is>
          <t>RULE: no figure enters the deck or the script without a source. DERIVED = arithmetic on sourced figures, shown in full.</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c r="B6" s="5" t="inlineStr">
        <is>
          <t>VPB — 1H26 REPORTED</t>
        </is>
      </c>
    </row>
    <row r="7">
      <c r="A7" s="6" t="n">
        <v>1</v>
      </c>
      <c r="B7" s="6" t="inlineStr">
        <is>
          <t>PBT 1H26 (consolidated)</t>
        </is>
      </c>
      <c r="C7" s="6" t="inlineStr">
        <is>
          <t>18,880</t>
        </is>
      </c>
      <c r="D7" s="6" t="inlineStr">
        <is>
          <t>VNDbn</t>
        </is>
      </c>
      <c r="E7" s="6" t="inlineStr">
        <is>
          <t>COMPANY + PRESS</t>
        </is>
      </c>
      <c r="F7" s="7" t="inlineStr">
        <is>
          <t>VPBank 1H26 release, 17/07/2026: "gần 18,900 tỷ, +68% CK, ~46% kế hoạch năm"</t>
        </is>
      </c>
      <c r="G7" s="7" t="inlineStr">
        <is>
          <t>Exact 18,880 = 1Q26 7,921 + 2Q26 10,959. The "+49%" figure seen earlier in the screen was a different scope and is dropped.</t>
        </is>
      </c>
    </row>
    <row r="8">
      <c r="A8" s="6" t="n">
        <v>2</v>
      </c>
      <c r="B8" s="6" t="inlineStr">
        <is>
          <t>PBT 2Q26</t>
        </is>
      </c>
      <c r="C8" s="6" t="inlineStr">
        <is>
          <t>10,959</t>
        </is>
      </c>
      <c r="D8" s="6" t="inlineStr">
        <is>
          <t>VNDbn</t>
        </is>
      </c>
      <c r="E8" s="6" t="inlineStr">
        <is>
          <t>PRESS</t>
        </is>
      </c>
      <c r="F8" s="7" t="inlineStr">
        <is>
          <t>Coverage of the 2Q26 consolidated FS: +76% YoY, highest in 4 years</t>
        </is>
      </c>
      <c r="G8" s="7" t="inlineStr">
        <is>
          <t>Cross-check: 18,880 − 7,921 = 10,959. Consistent.</t>
        </is>
      </c>
    </row>
    <row r="9">
      <c r="A9" s="6" t="n">
        <v>3</v>
      </c>
      <c r="B9" s="6" t="inlineStr">
        <is>
          <t>PBT 1Q26</t>
        </is>
      </c>
      <c r="C9" s="6" t="inlineStr">
        <is>
          <t>7,921</t>
        </is>
      </c>
      <c r="D9" s="6" t="inlineStr">
        <is>
          <t>VNDbn</t>
        </is>
      </c>
      <c r="E9" s="6" t="inlineStr">
        <is>
          <t>COMPANY + PRESS</t>
        </is>
      </c>
      <c r="F9" s="7" t="inlineStr">
        <is>
          <t>1Q26 release, 17/04/2026: "trên 7,900 tỷ, +58% CK"</t>
        </is>
      </c>
      <c r="G9" s="7" t="inlineStr">
        <is>
          <t>Exact value taken as 18,880 − 10,959.</t>
        </is>
      </c>
    </row>
    <row r="10">
      <c r="A10" s="6" t="n">
        <v>4</v>
      </c>
      <c r="B10" s="6" t="inlineStr">
        <is>
          <t>TOI 1H26</t>
        </is>
      </c>
      <c r="C10" s="6" t="inlineStr">
        <is>
          <t>43,400 (+35.2%)</t>
        </is>
      </c>
      <c r="D10" s="6" t="inlineStr">
        <is>
          <t>VNDbn</t>
        </is>
      </c>
      <c r="E10" s="6" t="inlineStr">
        <is>
          <t>COMPANY</t>
        </is>
      </c>
      <c r="F10" s="7" t="inlineStr">
        <is>
          <t>1H26 release; parent bank contributed &gt;31,600 (+35%)</t>
        </is>
      </c>
      <c r="G10" s="7" t="inlineStr">
        <is>
          <t>Parent figure is a contribution to TOI, not a profit figure — do not restate as profit.</t>
        </is>
      </c>
    </row>
    <row r="11">
      <c r="A11" s="6" t="n">
        <v>5</v>
      </c>
      <c r="B11" s="6" t="inlineStr">
        <is>
          <t>Total assets end-Jun-26</t>
        </is>
      </c>
      <c r="C11" s="6" t="inlineStr">
        <is>
          <t>&gt;1,500,000 (+19.2% vs end-25)</t>
        </is>
      </c>
      <c r="D11" s="6" t="inlineStr">
        <is>
          <t>VNDbn</t>
        </is>
      </c>
      <c r="E11" s="6" t="inlineStr">
        <is>
          <t>COMPANY</t>
        </is>
      </c>
      <c r="F11" s="7" t="inlineStr">
        <is>
          <t>1H26 release</t>
        </is>
      </c>
      <c r="G11" s="7" t="inlineStr"/>
    </row>
    <row r="12">
      <c r="A12" s="6" t="n">
        <v>6</v>
      </c>
      <c r="B12" s="6" t="inlineStr">
        <is>
          <t>Credit balance, parent bank</t>
        </is>
      </c>
      <c r="C12" s="6" t="inlineStr">
        <is>
          <t>~1,060,000 (+24.6% YTD)</t>
        </is>
      </c>
      <c r="D12" s="6" t="inlineStr">
        <is>
          <t>VNDbn</t>
        </is>
      </c>
      <c r="E12" s="6" t="inlineStr">
        <is>
          <t>COMPANY</t>
        </is>
      </c>
      <c r="F12" s="7" t="inlineStr">
        <is>
          <t>1H26 release</t>
        </is>
      </c>
      <c r="G12" s="7" t="inlineStr">
        <is>
          <t>Parent-bank scope. Consolidated credit &gt;1,180,000 (+23% YTD) per the same release.</t>
        </is>
      </c>
    </row>
    <row r="13">
      <c r="A13" s="6" t="n">
        <v>7</v>
      </c>
      <c r="B13" s="6" t="inlineStr">
        <is>
          <t>NPL</t>
        </is>
      </c>
      <c r="C13" s="6" t="inlineStr">
        <is>
          <t>parent ~2% (Circular 31); consolidated &lt;3%</t>
        </is>
      </c>
      <c r="D13" s="6" t="inlineStr">
        <is>
          <t>%</t>
        </is>
      </c>
      <c r="E13" s="6" t="inlineStr">
        <is>
          <t>COMPANY</t>
        </is>
      </c>
      <c r="F13" s="7" t="inlineStr">
        <is>
          <t>1H26 release</t>
        </is>
      </c>
      <c r="G13" s="7" t="inlineStr">
        <is>
          <t>TWO DIFFERENT SCOPES. Never quote one as the other.</t>
        </is>
      </c>
    </row>
    <row r="14">
      <c r="B14" s="5" t="inlineStr">
        <is>
          <t>VPB — BASE YEAR AND PLAN</t>
        </is>
      </c>
    </row>
    <row r="15">
      <c r="A15" s="6" t="n">
        <v>8</v>
      </c>
      <c r="B15" s="6" t="inlineStr">
        <is>
          <t>FY25 PBT</t>
        </is>
      </c>
      <c r="C15" s="6" t="inlineStr">
        <is>
          <t>30,600 (+53%)</t>
        </is>
      </c>
      <c r="D15" s="6" t="inlineStr">
        <is>
          <t>VNDbn</t>
        </is>
      </c>
      <c r="E15" s="6" t="inlineStr">
        <is>
          <t>COMPANY</t>
        </is>
      </c>
      <c r="F15" s="7" t="inlineStr">
        <is>
          <t>FY25 release, 19/01/2026; 121% of plan</t>
        </is>
      </c>
      <c r="G15" s="7" t="inlineStr">
        <is>
          <t>Parent bank 26,300 (+44.4%). Subsidiaries FY25: VPBankS 4,476 (4x), OPES &gt;638, FE Credit &gt;600.</t>
        </is>
      </c>
    </row>
    <row r="16">
      <c r="A16" s="6" t="n">
        <v>9</v>
      </c>
      <c r="B16" s="6" t="inlineStr">
        <is>
          <t>9M25 PBT</t>
        </is>
      </c>
      <c r="C16" s="6" t="inlineStr">
        <is>
          <t>20,400</t>
        </is>
      </c>
      <c r="D16" s="6" t="inlineStr">
        <is>
          <t>VNDbn</t>
        </is>
      </c>
      <c r="E16" s="6" t="inlineStr">
        <is>
          <t>COMPANY</t>
        </is>
      </c>
      <c r="F16" s="7" t="inlineStr">
        <is>
          <t>9M25 release</t>
        </is>
      </c>
      <c r="G16" s="7" t="inlineStr">
        <is>
          <t>Rounded in the release ("hơn 20,400").</t>
        </is>
      </c>
    </row>
    <row r="17">
      <c r="A17" s="6" t="n">
        <v>10</v>
      </c>
      <c r="B17" s="6" t="inlineStr">
        <is>
          <t>FY26 plan PBT</t>
        </is>
      </c>
      <c r="C17" s="6" t="inlineStr">
        <is>
          <t>41,323 (+35%)</t>
        </is>
      </c>
      <c r="D17" s="6" t="inlineStr">
        <is>
          <t>VNDbn</t>
        </is>
      </c>
      <c r="E17" s="6" t="inlineStr">
        <is>
          <t>COMPANY</t>
        </is>
      </c>
      <c r="F17" s="7" t="inlineStr">
        <is>
          <t>AGM 22/04/2026</t>
        </is>
      </c>
      <c r="G17" s="7" t="inlineStr"/>
    </row>
    <row r="18">
      <c r="B18" s="5" t="inlineStr">
        <is>
          <t>VPB — DERIVED QUARTERLY SERIES (chart on slide 3)</t>
        </is>
      </c>
    </row>
    <row r="19">
      <c r="A19" s="6" t="n">
        <v>11</v>
      </c>
      <c r="B19" s="6" t="inlineStr">
        <is>
          <t>PBT 2Q25</t>
        </is>
      </c>
      <c r="C19" s="6" t="inlineStr">
        <is>
          <t>6,230</t>
        </is>
      </c>
      <c r="D19" s="6" t="inlineStr">
        <is>
          <t>VNDbn</t>
        </is>
      </c>
      <c r="E19" s="6" t="inlineStr">
        <is>
          <t>DERIVED</t>
        </is>
      </c>
      <c r="F19" s="7">
        <f> 10,959 / 1.76 (2Q26 +76% YoY)</f>
        <v/>
      </c>
      <c r="G19" s="7" t="inlineStr">
        <is>
          <t>Implies 1H25 = 11,240; check 18,880 / 11,240 = +68.0% — matches the reported growth.</t>
        </is>
      </c>
    </row>
    <row r="20">
      <c r="A20" s="6" t="n">
        <v>12</v>
      </c>
      <c r="B20" s="6" t="inlineStr">
        <is>
          <t>PBT 1Q25</t>
        </is>
      </c>
      <c r="C20" s="6" t="inlineStr">
        <is>
          <t>5,010</t>
        </is>
      </c>
      <c r="D20" s="6" t="inlineStr">
        <is>
          <t>VNDbn</t>
        </is>
      </c>
      <c r="E20" s="6" t="inlineStr">
        <is>
          <t>DERIVED</t>
        </is>
      </c>
      <c r="F20" s="7">
        <f> 7,921 / 1.58 (1Q26 +58% YoY)</f>
        <v/>
      </c>
      <c r="G20" s="7" t="inlineStr"/>
    </row>
    <row r="21">
      <c r="A21" s="6" t="n">
        <v>13</v>
      </c>
      <c r="B21" s="6" t="inlineStr">
        <is>
          <t>PBT 3Q25</t>
        </is>
      </c>
      <c r="C21" s="6" t="inlineStr">
        <is>
          <t>9,160</t>
        </is>
      </c>
      <c r="D21" s="6" t="inlineStr">
        <is>
          <t>VNDbn</t>
        </is>
      </c>
      <c r="E21" s="6" t="inlineStr">
        <is>
          <t>DERIVED</t>
        </is>
      </c>
      <c r="F21" s="7">
        <f> 20,400 (9M25) − 11,240 (1H25)</f>
        <v/>
      </c>
      <c r="G21" s="7" t="inlineStr">
        <is>
          <t>Cumulative sources are rounded, so this carries a few hundred bn of rounding error. Chart footnote says so.</t>
        </is>
      </c>
    </row>
    <row r="22">
      <c r="A22" s="6" t="n">
        <v>14</v>
      </c>
      <c r="B22" s="6" t="inlineStr">
        <is>
          <t>PBT 4Q25</t>
        </is>
      </c>
      <c r="C22" s="6" t="inlineStr">
        <is>
          <t>10,200</t>
        </is>
      </c>
      <c r="D22" s="6" t="inlineStr">
        <is>
          <t>VNDbn</t>
        </is>
      </c>
      <c r="E22" s="6" t="inlineStr">
        <is>
          <t>DERIVED</t>
        </is>
      </c>
      <c r="F22" s="7">
        <f> 30,600 (FY25) − 20,400 (9M25)</f>
        <v/>
      </c>
      <c r="G22" s="7" t="inlineStr">
        <is>
          <t>Same rounding caveat.</t>
        </is>
      </c>
    </row>
    <row r="23">
      <c r="A23" s="6" t="n">
        <v>15</v>
      </c>
      <c r="B23" s="6" t="inlineStr">
        <is>
          <t>PBT 2H25</t>
        </is>
      </c>
      <c r="C23" s="6" t="inlineStr">
        <is>
          <t>~19,360</t>
        </is>
      </c>
      <c r="D23" s="6" t="inlineStr">
        <is>
          <t>VNDbn</t>
        </is>
      </c>
      <c r="E23" s="6" t="inlineStr">
        <is>
          <t>DERIVED</t>
        </is>
      </c>
      <c r="F23" s="7">
        <f> 30,600 − 11,240</f>
        <v/>
      </c>
      <c r="G23" s="7" t="inlineStr">
        <is>
          <t>Base for the 2H26 slowdown point. Plotted on slide 4 alongside 1H25 = 11,240 (= 18,880 / 1.68), 1H26 = 18,880 and the 22,443 needed for plan.</t>
        </is>
      </c>
    </row>
    <row r="24">
      <c r="A24" s="6" t="n">
        <v>16</v>
      </c>
      <c r="B24" s="6" t="inlineStr">
        <is>
          <t>2H26 PBT needed to hit plan</t>
        </is>
      </c>
      <c r="C24" s="6" t="inlineStr">
        <is>
          <t>22,443 (+16% YoY)</t>
        </is>
      </c>
      <c r="D24" s="6" t="inlineStr">
        <is>
          <t>VNDbn</t>
        </is>
      </c>
      <c r="E24" s="6" t="inlineStr">
        <is>
          <t>DERIVED</t>
        </is>
      </c>
      <c r="F24" s="7">
        <f> 41,323 − 18,880</f>
        <v/>
      </c>
      <c r="G24" s="7" t="inlineStr">
        <is>
          <t>Plotted as the 4th column of the slide-4 chart in a lighter colour and labelled "2H26 cần để đạt KH". IT IS NOT A MAS FORECAST — slide footnote says so explicitly.</t>
        </is>
      </c>
    </row>
    <row r="25">
      <c r="B25" s="5" t="inlineStr">
        <is>
          <t>VPB — CAPITAL INCREASE AND FOREIGN ROOM</t>
        </is>
      </c>
    </row>
    <row r="26">
      <c r="A26" s="6" t="n">
        <v>17</v>
      </c>
      <c r="B26" s="6" t="inlineStr">
        <is>
          <t>Charter capital</t>
        </is>
      </c>
      <c r="C26" s="6" t="inlineStr">
        <is>
          <t>79,339 → 106,243</t>
        </is>
      </c>
      <c r="D26" s="6" t="inlineStr">
        <is>
          <t>VNDbn</t>
        </is>
      </c>
      <c r="E26" s="6" t="inlineStr">
        <is>
          <t>COMPANY</t>
        </is>
      </c>
      <c r="F26" s="7" t="inlineStr">
        <is>
          <t>AGM 22/04/2026</t>
        </is>
      </c>
      <c r="G26" s="7" t="inlineStr">
        <is>
          <t>Would be the largest in the system.</t>
        </is>
      </c>
    </row>
    <row r="27">
      <c r="A27" s="6" t="n">
        <v>18</v>
      </c>
      <c r="B27" s="6" t="inlineStr">
        <is>
          <t>Step 1 — stock dividend</t>
        </is>
      </c>
      <c r="C27" s="6" t="inlineStr">
        <is>
          <t>26.04% (~2.06bn shares)</t>
        </is>
      </c>
      <c r="D27" s="6" t="inlineStr">
        <is>
          <t>ratio</t>
        </is>
      </c>
      <c r="E27" s="6" t="inlineStr">
        <is>
          <t>COMPANY</t>
        </is>
      </c>
      <c r="F27" s="7" t="inlineStr">
        <is>
          <t>Written consent: record date 30/06/2026, deadline 16/07/2026; execution expected 3Q–4Q26</t>
        </is>
      </c>
      <c r="G27" s="7" t="inlineStr">
        <is>
          <t>Source switched from capital surplus + reserve funds to &gt;20,660bn of retained earnings. NOT YET EXECUTED as at 30/07/2026 — the price and TP are both pre-dilution.</t>
        </is>
      </c>
    </row>
    <row r="28">
      <c r="A28" s="6" t="n">
        <v>19</v>
      </c>
      <c r="B28" s="6" t="inlineStr">
        <is>
          <t>Step 2 — private placement</t>
        </is>
      </c>
      <c r="C28" s="6" t="inlineStr">
        <is>
          <t>624mn shares (~6,243bn)</t>
        </is>
      </c>
      <c r="D28" s="6" t="inlineStr">
        <is>
          <t>shares</t>
        </is>
      </c>
      <c r="E28" s="6" t="inlineStr">
        <is>
          <t>COMPANY + PRESS</t>
        </is>
      </c>
      <c r="F28" s="7" t="inlineStr">
        <is>
          <t>AGM 22/04/2026; expected 3Q–4Q26; foreign ownership could reach ~34%</t>
        </is>
      </c>
      <c r="G28" s="7" t="inlineStr">
        <is>
          <t>Buyer described as an existing strategic shareholder or a qualifying foreign institution — NOT NAMED. Do not name one.</t>
        </is>
      </c>
    </row>
    <row r="29">
      <c r="A29" s="6" t="n">
        <v>20</v>
      </c>
      <c r="B29" s="6" t="inlineStr">
        <is>
          <t>Decree 69/2025/NĐ-CP</t>
        </is>
      </c>
      <c r="C29" s="6" t="inlineStr">
        <is>
          <t>foreign cap up to 49%</t>
        </is>
      </c>
      <c r="D29" s="6" t="inlineStr">
        <is>
          <t>%</t>
        </is>
      </c>
      <c r="E29" s="6" t="inlineStr">
        <is>
          <t>REGULATION</t>
        </is>
      </c>
      <c r="F29" s="7" t="inlineStr">
        <is>
          <t>Effective 19/05/2025; applies to banks receiving mandatory transfers of weak banks — VPB (GPBank), MBB (MBV), HDB (Vikki)</t>
        </is>
      </c>
      <c r="G29" s="7" t="inlineStr">
        <is>
          <t>Not automatic: needs a specific approval. Current foreign ownership: VPB 24.3%, MBB 22.3%, HDB 16.9%. Excludes banks &gt;50% state-owned.</t>
        </is>
      </c>
    </row>
    <row r="30">
      <c r="A30" s="6" t="n">
        <v>21</v>
      </c>
      <c r="B30" s="6" t="inlineStr">
        <is>
          <t>Cash dividend</t>
        </is>
      </c>
      <c r="C30" s="6" t="inlineStr">
        <is>
          <t>5% of par (&gt;3,900bn)</t>
        </is>
      </c>
      <c r="D30" s="6" t="inlineStr">
        <is>
          <t>VNDbn</t>
        </is>
      </c>
      <c r="E30" s="6" t="inlineStr">
        <is>
          <t>COMPANY</t>
        </is>
      </c>
      <c r="F30" s="7" t="inlineStr">
        <is>
          <t>FY25 dividend announcement</t>
        </is>
      </c>
      <c r="G30" s="7" t="inlineStr"/>
    </row>
    <row r="31">
      <c r="B31" s="5" t="inlineStr">
        <is>
          <t>VPB — PRICE, TP, FORECAST</t>
        </is>
      </c>
    </row>
    <row r="32">
      <c r="A32" s="6" t="n">
        <v>22</v>
      </c>
      <c r="B32" s="6" t="inlineStr">
        <is>
          <t>Share price</t>
        </is>
      </c>
      <c r="C32" s="6" t="inlineStr">
        <is>
          <t>24,600</t>
        </is>
      </c>
      <c r="D32" s="6" t="inlineStr">
        <is>
          <t>VND/share</t>
        </is>
      </c>
      <c r="E32" s="6" t="inlineStr">
        <is>
          <t>PRESS</t>
        </is>
      </c>
      <c r="F32" s="7" t="inlineStr">
        <is>
          <t>Quoted for 28/07/2026; 24,950 on 24/07/2026</t>
        </is>
      </c>
      <c r="G32" s="7" t="inlineStr">
        <is>
          <t>FROM A SEARCH SNIPPET, NOT A MARKET FEED (FiinQuant connector not authorised). Refresh before recording.</t>
        </is>
      </c>
    </row>
    <row r="33">
      <c r="A33" s="6" t="n">
        <v>23</v>
      </c>
      <c r="B33" s="6" t="inlineStr">
        <is>
          <t>MAS target price</t>
        </is>
      </c>
      <c r="C33" s="6" t="inlineStr">
        <is>
          <t>33,800</t>
        </is>
      </c>
      <c r="D33" s="6" t="inlineStr">
        <is>
          <t>VND/share</t>
        </is>
      </c>
      <c r="E33" s="6" t="inlineStr">
        <is>
          <t>MAS</t>
        </is>
      </c>
      <c r="F33" s="7" t="inlineStr">
        <is>
          <t>Stock_Pick_and_Forecast_Aug26_MAS_RS_EN_updated.xlsx, Target Price sheet row 7</t>
        </is>
      </c>
      <c r="G33" s="7" t="inlineStr">
        <is>
          <t>Pre-dilution basis. After a 26.04% stock dividend this is ~26,800 — say "pre-dilution" if asked.</t>
        </is>
      </c>
    </row>
    <row r="34">
      <c r="A34" s="6" t="n">
        <v>24</v>
      </c>
      <c r="B34" s="6" t="inlineStr">
        <is>
          <t>Upside to TP</t>
        </is>
      </c>
      <c r="C34" s="6" t="inlineStr">
        <is>
          <t>+37.4%</t>
        </is>
      </c>
      <c r="D34" s="6" t="inlineStr">
        <is>
          <t>%</t>
        </is>
      </c>
      <c r="E34" s="6" t="inlineStr">
        <is>
          <t>DERIVED</t>
        </is>
      </c>
      <c r="F34" s="7">
        <f> 33,800 / 24,600 − 1</f>
        <v/>
      </c>
      <c r="G34" s="7" t="inlineStr">
        <is>
          <t>Moves with the price; recheck on the day.</t>
        </is>
      </c>
    </row>
    <row r="35">
      <c r="A35" s="6" t="n">
        <v>25</v>
      </c>
      <c r="B35" s="6" t="inlineStr">
        <is>
          <t>MAS 2026F NPATMI</t>
        </is>
      </c>
      <c r="C35" s="6" t="inlineStr">
        <is>
          <t>29,056</t>
        </is>
      </c>
      <c r="D35" s="6" t="inlineStr">
        <is>
          <t>VNDbn</t>
        </is>
      </c>
      <c r="E35" s="6" t="inlineStr">
        <is>
          <t>MAS</t>
        </is>
      </c>
      <c r="F35" s="7" t="inlineStr">
        <is>
          <t>Same file</t>
        </is>
      </c>
      <c r="G35" s="7" t="inlineStr"/>
    </row>
    <row r="36">
      <c r="A36" s="6" t="n">
        <v>26</v>
      </c>
      <c r="B36" s="6" t="inlineStr">
        <is>
          <t>MAS 2027F NPATMI</t>
        </is>
      </c>
      <c r="C36" s="6" t="inlineStr">
        <is>
          <t>36,119 (+24.3%)</t>
        </is>
      </c>
      <c r="D36" s="6" t="inlineStr">
        <is>
          <t>VNDbn</t>
        </is>
      </c>
      <c r="E36" s="6" t="inlineStr">
        <is>
          <t>MAS</t>
        </is>
      </c>
      <c r="F36" s="7" t="inlineStr">
        <is>
          <t>Same file</t>
        </is>
      </c>
      <c r="G36" s="7" t="inlineStr"/>
    </row>
    <row r="37">
      <c r="B37" s="5" t="inlineStr">
        <is>
          <t>KNOWN GAPS — read before recording</t>
        </is>
      </c>
    </row>
    <row r="38">
      <c r="A38" s="6" t="n">
        <v>27</v>
      </c>
      <c r="B38" s="6" t="inlineStr">
        <is>
          <t>G1 FY25 NPATMI not sourced</t>
        </is>
      </c>
      <c r="C38" s="6" t="inlineStr">
        <is>
          <t>—</t>
        </is>
      </c>
      <c r="D38" s="6" t="inlineStr"/>
      <c r="E38" s="6" t="inlineStr">
        <is>
          <t>GAP</t>
        </is>
      </c>
      <c r="F38" s="7" t="inlineStr"/>
      <c r="G38" s="7" t="inlineStr">
        <is>
          <t>So the script quotes no 2026F NPATMI growth rate. Only the absolute 2026F/2027F figures and the 2027F growth are used.</t>
        </is>
      </c>
    </row>
    <row r="39">
      <c r="A39" s="6" t="n">
        <v>28</v>
      </c>
      <c r="B39" s="6" t="inlineStr">
        <is>
          <t>G2 Forecast looks stale</t>
        </is>
      </c>
      <c r="C39" s="6" t="inlineStr">
        <is>
          <t>—</t>
        </is>
      </c>
      <c r="D39" s="6" t="inlineStr"/>
      <c r="E39" s="6" t="inlineStr">
        <is>
          <t>GAP</t>
        </is>
      </c>
      <c r="F39" s="7" t="inlineStr"/>
      <c r="G39" s="7" t="inlineStr">
        <is>
          <t>MAS 2026F NPATMI 29,056 implies PBT materially below the 41,323 plan, yet 1H26 is already at ~46% of plan and 2Q26 set a record. The VPB model looks due for an upgrade; not revised for this HotStock.</t>
        </is>
      </c>
    </row>
    <row r="40">
      <c r="A40" s="6" t="n">
        <v>29</v>
      </c>
      <c r="B40" s="6" t="inlineStr">
        <is>
          <t>G3 No NPL chart</t>
        </is>
      </c>
      <c r="C40" s="6" t="inlineStr">
        <is>
          <t>—</t>
        </is>
      </c>
      <c r="D40" s="6" t="inlineStr"/>
      <c r="E40" s="6" t="inlineStr">
        <is>
          <t>GAP</t>
        </is>
      </c>
      <c r="F40" s="7" t="inlineStr"/>
      <c r="G40" s="7" t="inlineStr">
        <is>
          <t>Quarterly NPL bucket data for VPB was not obtained, so the deck carries two PBT charts (quarterly and half-yearly) instead of the profit + NPL pair used in the STB/EIB mobile reports. Spec allows 1-2 visuals.</t>
        </is>
      </c>
    </row>
    <row r="41">
      <c r="A41" s="6" t="n">
        <v>30</v>
      </c>
      <c r="B41" s="6" t="inlineStr">
        <is>
          <t>G4 TP predates 2Q26</t>
        </is>
      </c>
      <c r="C41" s="6" t="inlineStr">
        <is>
          <t>—</t>
        </is>
      </c>
      <c r="D41" s="6" t="inlineStr"/>
      <c r="E41" s="6" t="inlineStr">
        <is>
          <t>GAP</t>
        </is>
      </c>
      <c r="F41" s="7" t="inlineStr"/>
      <c r="G41" s="7" t="inlineStr">
        <is>
          <t>TP 33,800 was set before the 2Q26 print and has not been re-derived here.</t>
        </is>
      </c>
    </row>
    <row r="42">
      <c r="A42" s="6" t="n">
        <v>31</v>
      </c>
      <c r="B42" s="6" t="inlineStr">
        <is>
          <t>G5 Derived quarters</t>
        </is>
      </c>
      <c r="C42" s="6" t="inlineStr">
        <is>
          <t>—</t>
        </is>
      </c>
      <c r="D42" s="6" t="inlineStr"/>
      <c r="E42" s="6" t="inlineStr">
        <is>
          <t>GAP</t>
        </is>
      </c>
      <c r="F42" s="7" t="inlineStr"/>
      <c r="G42" s="7" t="inlineStr">
        <is>
          <t>3Q25 and 4Q25 chart columns are arithmetic on rounded cumulative disclosures — footnoted on the slide.</t>
        </is>
      </c>
    </row>
    <row r="43">
      <c r="A43" s="6" t="n">
        <v>32</v>
      </c>
      <c r="B43" s="6" t="inlineStr">
        <is>
          <t>G6 No visual QA</t>
        </is>
      </c>
      <c r="C43" s="6" t="inlineStr">
        <is>
          <t>—</t>
        </is>
      </c>
      <c r="D43" s="6" t="inlineStr"/>
      <c r="E43" s="6" t="inlineStr">
        <is>
          <t>GAP</t>
        </is>
      </c>
      <c r="F43" s="7" t="inlineStr"/>
      <c r="G43" s="7" t="inlineStr">
        <is>
          <t>LibreOffice cannot open .pptx in this environment, so slide layout was verified by XML/text inspection only. Open the deck once before recording — SmartArt text is longer than the template original and PowerPoint will re-fit it.</t>
        </is>
      </c>
    </row>
    <row r="45">
      <c r="B45" s="5" t="inlineStr">
        <is>
          <t>VPB — FIINPROX QUARTERLY (nguồn biểu đồ slide 4-5 và ảnh PNG)</t>
        </is>
      </c>
    </row>
    <row r="46">
      <c r="A46" s="6" t="n">
        <v>33</v>
      </c>
      <c r="B46" s="6" t="inlineStr">
        <is>
          <t>Source file</t>
        </is>
      </c>
      <c r="C46" s="6" t="inlineStr">
        <is>
          <t>FiinProX_DuLieuTaiChinh_ChiSoTaiChinh_VPB_20260730.xlsx</t>
        </is>
      </c>
      <c r="D46" s="6" t="inlineStr"/>
      <c r="E46" s="6" t="inlineStr">
        <is>
          <t>FIINPROX</t>
        </is>
      </c>
      <c r="F46" s="7" t="inlineStr">
        <is>
          <t>Trích xuất 30/07/2026, 55 kỳ Q1/2012–Q2/2026, Sheet1</t>
        </is>
      </c>
      <c r="G46" s="7" t="inlineStr">
        <is>
          <t>Toàn bộ số trong hai biểu đồ mới và hai ảnh PNG lấy từ file này, không suy diễn.</t>
        </is>
      </c>
    </row>
    <row r="47">
      <c r="A47" s="6" t="n">
        <v>34</v>
      </c>
      <c r="B47" s="6" t="inlineStr">
        <is>
          <t>Nợ xấu nhóm 3-5 / tổng dư nợ, Q2/26</t>
        </is>
      </c>
      <c r="C47" s="6" t="inlineStr">
        <is>
          <t>3.34</t>
        </is>
      </c>
      <c r="D47" s="6" t="inlineStr">
        <is>
          <t>%</t>
        </is>
      </c>
      <c r="E47" s="6" t="inlineStr">
        <is>
          <t>FIINPROX</t>
        </is>
      </c>
      <c r="F47" s="7" t="inlineStr">
        <is>
          <t>Sheet1 dòng 49</t>
        </is>
      </c>
      <c r="G47" s="7" t="inlineStr">
        <is>
          <t>Đỉnh 6.71% tại Q2/2023 (giảm 50.2%). Thấp nhất kể từ Q2/2020 (3.26%). Chuỗi Q1/24-Q2/26 dùng cho biểu đồ slide 4.</t>
        </is>
      </c>
    </row>
    <row r="48">
      <c r="A48" s="6" t="n">
        <v>35</v>
      </c>
      <c r="B48" s="6" t="inlineStr">
        <is>
          <t>Nợ nhóm 2-5 / tổng dư nợ, Q2/26</t>
        </is>
      </c>
      <c r="C48" s="6" t="inlineStr">
        <is>
          <t>6.57</t>
        </is>
      </c>
      <c r="D48" s="6" t="inlineStr">
        <is>
          <t>%</t>
        </is>
      </c>
      <c r="E48" s="6" t="inlineStr">
        <is>
          <t>FIINPROX</t>
        </is>
      </c>
      <c r="F48" s="7" t="inlineStr">
        <is>
          <t>Sheet1 dòng 51</t>
        </is>
      </c>
      <c r="G48" s="7" t="inlineStr">
        <is>
          <t>Đỉnh 15.14% tại Q2/2023 (giảm 56.6%). Chỉ hiển thị trên ảnh PNG, không lên slide.</t>
        </is>
      </c>
    </row>
    <row r="49">
      <c r="A49" s="6" t="n">
        <v>36</v>
      </c>
      <c r="B49" s="6" t="inlineStr">
        <is>
          <t>CONFLICT — định nghĩa nợ xấu hợp nhất</t>
        </is>
      </c>
      <c r="C49" s="6" t="inlineStr">
        <is>
          <t>3.34% (FiinProX) vs "dưới 3%" (VPBank)</t>
        </is>
      </c>
      <c r="D49" s="6" t="inlineStr">
        <is>
          <t>%</t>
        </is>
      </c>
      <c r="E49" s="6" t="inlineStr">
        <is>
          <t>CONFLICT</t>
        </is>
      </c>
      <c r="F49" s="7" t="inlineStr">
        <is>
          <t>Thông cáo 1H26 của VPBank: "nợ xấu hợp nhất dưới 3%"; FiinProX tính nhóm 3-5 / tổng dư nợ = 3.34%</t>
        </is>
      </c>
      <c r="G49" s="7" t="inlineStr">
        <is>
          <t>CHƯA ĐỐI CHIẾU ĐƯỢC mẫu số/phạm vi của con số ngân hàng công bố. Bản đọc và slide đều dùng 3.34% của FiinProX để thống nhất với biểu đồ; câu "hợp nhất dưới 3%" đã bị gỡ khỏi bản đọc và SmartArt.</t>
        </is>
      </c>
    </row>
    <row r="50">
      <c r="A50" s="6" t="n">
        <v>37</v>
      </c>
      <c r="B50" s="6" t="inlineStr">
        <is>
          <t>Chi phí dự phòng / cho vay khách hàng, Q2/26</t>
        </is>
      </c>
      <c r="C50" s="6" t="inlineStr">
        <is>
          <t>2.24</t>
        </is>
      </c>
      <c r="D50" s="6" t="inlineStr">
        <is>
          <t>%</t>
        </is>
      </c>
      <c r="E50" s="6" t="inlineStr">
        <is>
          <t>FIINPROX</t>
        </is>
      </c>
      <c r="F50" s="7" t="inlineStr">
        <is>
          <t>Sheet1 dòng 22</t>
        </is>
      </c>
      <c r="G50" s="7" t="inlineStr">
        <is>
          <t>Đỉnh 5.95% tại Q4/2021. Đây là động lực chính của đà tăng lợi nhuận — đã đưa vào Luận điểm 1.</t>
        </is>
      </c>
    </row>
    <row r="51">
      <c r="A51" s="6" t="n">
        <v>38</v>
      </c>
      <c r="B51" s="6" t="inlineStr">
        <is>
          <t>Tăng trưởng cho vay khách hàng (%YoY), Q2/26</t>
        </is>
      </c>
      <c r="C51" s="6" t="inlineStr">
        <is>
          <t>40.41</t>
        </is>
      </c>
      <c r="D51" s="6" t="inlineStr">
        <is>
          <t>%</t>
        </is>
      </c>
      <c r="E51" s="6" t="inlineStr">
        <is>
          <t>FIINPROX</t>
        </is>
      </c>
      <c r="F51" s="7" t="inlineStr">
        <is>
          <t>Sheet1 dòng 74</t>
        </is>
      </c>
      <c r="G51" s="7" t="inlineStr">
        <is>
          <t>Đã 5 quý liên tiếp trên 30%. KHÔNG phải mức cao nhất: Q1/26 43.12% và Q3/25 41.82% cao hơn — tránh nói "cao nhất". Khác với "+24.6% YTD ngân hàng mẹ" trong thông cáo (YoY vs YTD, hợp nhất vs riêng lẻ).</t>
        </is>
      </c>
    </row>
    <row r="52">
      <c r="A52" s="6" t="n">
        <v>39</v>
      </c>
      <c r="B52" s="6" t="inlineStr">
        <is>
          <t>ROE, Q2/26</t>
        </is>
      </c>
      <c r="C52" s="6" t="inlineStr">
        <is>
          <t>17.05</t>
        </is>
      </c>
      <c r="D52" s="6" t="inlineStr">
        <is>
          <t>%</t>
        </is>
      </c>
      <c r="E52" s="6" t="inlineStr">
        <is>
          <t>FIINPROX</t>
        </is>
      </c>
      <c r="F52" s="7" t="inlineStr">
        <is>
          <t>Sheet1 dòng 69</t>
        </is>
      </c>
      <c r="G52" s="7" t="inlineStr">
        <is>
          <t>Tăng 10 quý liên tiếp từ đáy 7.09% (Q4/2023).</t>
        </is>
      </c>
    </row>
    <row r="53">
      <c r="A53" s="6" t="n">
        <v>40</v>
      </c>
      <c r="B53" s="6" t="inlineStr">
        <is>
          <t>NIM, Q2/26</t>
        </is>
      </c>
      <c r="C53" s="6" t="inlineStr">
        <is>
          <t>5.17</t>
        </is>
      </c>
      <c r="D53" s="6" t="inlineStr">
        <is>
          <t>%</t>
        </is>
      </c>
      <c r="E53" s="6" t="inlineStr">
        <is>
          <t>FIINPROX</t>
        </is>
      </c>
      <c r="F53" s="7" t="inlineStr">
        <is>
          <t>Sheet1 dòng 64</t>
        </is>
      </c>
      <c r="G53" s="7" t="inlineStr">
        <is>
          <t>Giảm từ 5.83% (Q4/2024) — mặt trái của câu chuyện, đã nêu ở [Chốt].</t>
        </is>
      </c>
    </row>
    <row r="54">
      <c r="A54" s="6" t="n">
        <v>41</v>
      </c>
      <c r="B54" s="6" t="inlineStr">
        <is>
          <t>CASA, Q2/26</t>
        </is>
      </c>
      <c r="C54" s="6" t="inlineStr">
        <is>
          <t>11.49</t>
        </is>
      </c>
      <c r="D54" s="6" t="inlineStr">
        <is>
          <t>%</t>
        </is>
      </c>
      <c r="E54" s="6" t="inlineStr">
        <is>
          <t>FIINPROX</t>
        </is>
      </c>
      <c r="F54" s="7" t="inlineStr">
        <is>
          <t>Sheet1 dòng 25</t>
        </is>
      </c>
      <c r="G54" s="7" t="inlineStr">
        <is>
          <t>Thấp nhất trong giai đoạn quan sát.</t>
        </is>
      </c>
    </row>
    <row r="55">
      <c r="A55" s="6" t="n">
        <v>42</v>
      </c>
      <c r="B55" s="6" t="inlineStr">
        <is>
          <t>Bao phủ nợ xấu (dự phòng/nợ xấu), Q2/26</t>
        </is>
      </c>
      <c r="C55" s="6" t="inlineStr">
        <is>
          <t>56.2</t>
        </is>
      </c>
      <c r="D55" s="6" t="inlineStr">
        <is>
          <t>%</t>
        </is>
      </c>
      <c r="E55" s="6" t="inlineStr">
        <is>
          <t>FIINPROX</t>
        </is>
      </c>
      <c r="F55" s="7" t="inlineStr">
        <is>
          <t>Sheet1 dòng 20</t>
        </is>
      </c>
      <c r="G55" s="7" t="inlineStr">
        <is>
          <t>Vẫn thấp so với nhóm ngân hàng dẫn đầu — rủi ro nếu chu kỳ nợ xấu quay lại.</t>
        </is>
      </c>
    </row>
    <row r="56">
      <c r="A56" s="6" t="n">
        <v>43</v>
      </c>
      <c r="B56" s="6" t="inlineStr">
        <is>
          <t>Cho vay / tiền gửi (FiinProX), Q2/26</t>
        </is>
      </c>
      <c r="C56" s="6" t="inlineStr">
        <is>
          <t>110.5</t>
        </is>
      </c>
      <c r="D56" s="6" t="inlineStr">
        <is>
          <t>%</t>
        </is>
      </c>
      <c r="E56" s="6" t="inlineStr">
        <is>
          <t>FIINPROX</t>
        </is>
      </c>
      <c r="F56" s="7" t="inlineStr">
        <is>
          <t>Sheet1 dòng 57</t>
        </is>
      </c>
      <c r="G56" s="7" t="inlineStr">
        <is>
          <t>KHÔNG PHẢI tỷ lệ LDR theo quy định. VPBank công bố LDR 84.5%. Đã bỏ khỏi bộ biểu đồ để tránh hiểu nhầm vi phạm trần; chỉ ghi chú dưới ảnh PNG.</t>
        </is>
      </c>
    </row>
    <row r="57">
      <c r="A57" s="6" t="n">
        <v>44</v>
      </c>
      <c r="B57" s="6" t="inlineStr">
        <is>
          <t>Bảng màu biểu đồ</t>
        </is>
      </c>
      <c r="C57" s="6" t="inlineStr">
        <is>
          <t>0F5FA8 / C7811F</t>
        </is>
      </c>
      <c r="D57" s="6" t="inlineStr">
        <is>
          <t>hex</t>
        </is>
      </c>
      <c r="E57" s="6" t="inlineStr">
        <is>
          <t>MAS</t>
        </is>
      </c>
      <c r="F57" s="7" t="inlineStr">
        <is>
          <t>Bước màu đã qua kiểm tra của trình validate (lightness, chroma, tách màu cho người mù màu, tương phản nền)</t>
        </is>
      </c>
      <c r="G57" s="7" t="inlineStr">
        <is>
          <t>Màu accent gốc của template (043B72 / F0B26B) trượt kiểm tra: cam quá nhạt (tương phản 1.81:1) trên nền slide gần trắng, navy quá tối. Toàn bộ biểu đồ trong deck đã đổi sang cặp mới.</t>
        </is>
      </c>
    </row>
    <row r="59">
      <c r="B59" s="6" t="inlineStr">
        <is>
          <t>G7 Deck lên 6 trang</t>
        </is>
      </c>
      <c r="E59" s="6" t="inlineStr">
        <is>
          <t>GAP</t>
        </is>
      </c>
      <c r="G59" s="7" t="inlineStr">
        <is>
          <t>Thêm 2 biểu đồ theo yêu cầu nên deck từ 5 lên 6 trang; biểu đồ LNTT theo nửa năm (nền 2H25 cao) đã bị gỡ, luận điểm đó vẫn nằm trong SmartArt và [Chốt] của bản đọc.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8"/>
  <sheetViews>
    <sheetView workbookViewId="0">
      <selection activeCell="A1" sqref="A1"/>
    </sheetView>
  </sheetViews>
  <sheetFormatPr baseColWidth="8" defaultRowHeight="15"/>
  <cols>
    <col width="6" customWidth="1" min="1" max="1"/>
    <col width="40" customWidth="1" min="2" max="2"/>
    <col width="22" customWidth="1" min="3" max="3"/>
    <col width="8" customWidth="1" min="4" max="4"/>
    <col width="18" customWidth="1" min="5" max="5"/>
    <col width="56" customWidth="1" min="6" max="6"/>
    <col width="70" customWidth="1" min="7" max="7"/>
  </cols>
  <sheetData>
    <row r="1">
      <c r="A1" s="1" t="inlineStr">
        <is>
          <t>INTERNAL — NOT FOR DISTRIBUTION</t>
        </is>
      </c>
    </row>
    <row r="2">
      <c r="A2" s="2" t="inlineStr">
        <is>
          <t>Sources for the STB + FPT outlook slides, 31/07/2026 revision</t>
        </is>
      </c>
    </row>
    <row r="3">
      <c r="A3" s="2" t="inlineStr">
        <is>
          <t>RULE: no figure enters a slide without a source. DERIVED = arithmetic on sourced figures, shown in full.</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c r="B6" s="5" t="inlineStr">
        <is>
          <t>STB — 1H26 AS FILED (thay thế toàn bộ phần "sơ bộ" trong bản 24/07)</t>
        </is>
      </c>
    </row>
    <row r="7">
      <c r="A7" s="6" t="n">
        <v>1</v>
      </c>
      <c r="B7" s="6" t="inlineStr">
        <is>
          <t>PBT 1H26</t>
        </is>
      </c>
      <c r="C7" s="6" t="inlineStr">
        <is>
          <t>4,136</t>
        </is>
      </c>
      <c r="D7" s="6" t="inlineStr">
        <is>
          <t>VNDbn</t>
        </is>
      </c>
      <c r="E7" s="6" t="inlineStr">
        <is>
          <t>PRESS (tổng hợp KQKD 27 NH, 30/07/2026)</t>
        </is>
      </c>
      <c r="F7" s="7" t="inlineStr">
        <is>
          <t>"LNTT đạt 4,136 tỷ đồng, giảm 44% và hoàn thành 51% mục tiêu"</t>
        </is>
      </c>
      <c r="G7" s="7" t="inlineStr">
        <is>
          <t>Thay cho khoảng ước "4,000-4,100 tỷ" theo chia sẻ của CEO trong bản trước.</t>
        </is>
      </c>
    </row>
    <row r="8">
      <c r="A8" s="6" t="n">
        <v>2</v>
      </c>
      <c r="B8" s="6" t="inlineStr">
        <is>
          <t>PBT 1H25</t>
        </is>
      </c>
      <c r="C8" s="6" t="inlineStr">
        <is>
          <t>7,331</t>
        </is>
      </c>
      <c r="D8" s="6" t="inlineStr">
        <is>
          <t>VNDbn</t>
        </is>
      </c>
      <c r="E8" s="6" t="inlineStr">
        <is>
          <t>PRESS</t>
        </is>
      </c>
      <c r="F8" s="7" t="inlineStr">
        <is>
          <t>Số thực hiện 6T/2025</t>
        </is>
      </c>
      <c r="G8" s="7" t="inlineStr">
        <is>
          <t>Cross-check: 4,136/7,331-1 = -43.6%, khớp mức "-44%" được công bố.</t>
        </is>
      </c>
    </row>
    <row r="9">
      <c r="A9" s="6" t="n">
        <v>3</v>
      </c>
      <c r="B9" s="6" t="inlineStr">
        <is>
          <t>PBT 1Q26</t>
        </is>
      </c>
      <c r="C9" s="6" t="inlineStr">
        <is>
          <t>2,106</t>
        </is>
      </c>
      <c r="D9" s="6" t="inlineStr">
        <is>
          <t>VNDbn</t>
        </is>
      </c>
      <c r="E9" s="6" t="inlineStr">
        <is>
          <t>COMPANY</t>
        </is>
      </c>
      <c r="F9" s="7" t="inlineStr">
        <is>
          <t>BCTC Q1/2026 (-42.7% CK)</t>
        </is>
      </c>
      <c r="G9" s="7" t="inlineStr">
        <is>
          <t>Đã dùng trong bản 24/07.</t>
        </is>
      </c>
    </row>
    <row r="10">
      <c r="A10" s="6" t="n">
        <v>4</v>
      </c>
      <c r="B10" s="6" t="inlineStr">
        <is>
          <t>PBT 2Q26</t>
        </is>
      </c>
      <c r="C10" s="6" t="inlineStr">
        <is>
          <t>~2,030</t>
        </is>
      </c>
      <c r="D10" s="6" t="inlineStr">
        <is>
          <t>VNDbn</t>
        </is>
      </c>
      <c r="E10" s="6" t="inlineStr">
        <is>
          <t>DERIVED</t>
        </is>
      </c>
      <c r="F10" s="7">
        <f> 4,136 - 2,106</f>
        <v/>
      </c>
      <c r="G10" s="7" t="inlineStr">
        <is>
          <t>Ghi rõ trên slide là số suy ra.</t>
        </is>
      </c>
    </row>
    <row r="11">
      <c r="A11" s="6" t="n">
        <v>5</v>
      </c>
      <c r="B11" s="6" t="inlineStr">
        <is>
          <t>PBT 9M25</t>
        </is>
      </c>
      <c r="C11" s="6" t="inlineStr">
        <is>
          <t>10,988</t>
        </is>
      </c>
      <c r="D11" s="6" t="inlineStr">
        <is>
          <t>VNDbn</t>
        </is>
      </c>
      <c r="E11" s="6" t="inlineStr">
        <is>
          <t>COMPANY</t>
        </is>
      </c>
      <c r="F11" s="7" t="inlineStr">
        <is>
          <t>Công bố 9T/2025 (+36% CK)</t>
        </is>
      </c>
      <c r="G11" s="7" t="inlineStr"/>
    </row>
    <row r="12">
      <c r="A12" s="6" t="n">
        <v>6</v>
      </c>
      <c r="B12" s="6" t="inlineStr">
        <is>
          <t>PBT FY25</t>
        </is>
      </c>
      <c r="C12" s="6" t="inlineStr">
        <is>
          <t>7,628</t>
        </is>
      </c>
      <c r="D12" s="6" t="inlineStr">
        <is>
          <t>VNDbn</t>
        </is>
      </c>
      <c r="E12" s="6" t="inlineStr">
        <is>
          <t>COMPANY</t>
        </is>
      </c>
      <c r="F12" s="7" t="inlineStr">
        <is>
          <t>KQKD 2025, đạt 52% kế hoạch; trích lập cả năm &gt;11,300 tỷ</t>
        </is>
      </c>
      <c r="G12" s="7" t="inlineStr">
        <is>
          <t>Khớp đúng dòng "Operating profit FY25" trong bảng FY của slide.</t>
        </is>
      </c>
    </row>
    <row r="13">
      <c r="A13" s="6" t="n">
        <v>7</v>
      </c>
      <c r="B13" s="6" t="inlineStr">
        <is>
          <t>PBT 2H25</t>
        </is>
      </c>
      <c r="C13" s="6" t="inlineStr">
        <is>
          <t>297</t>
        </is>
      </c>
      <c r="D13" s="6" t="inlineStr">
        <is>
          <t>VNDbn</t>
        </is>
      </c>
      <c r="E13" s="6" t="inlineStr">
        <is>
          <t>DERIVED</t>
        </is>
      </c>
      <c r="F13" s="7">
        <f> 7,628 - 7,331</f>
        <v/>
      </c>
      <c r="G13" s="7" t="inlineStr">
        <is>
          <t>LUẬN ĐIỂM TRUNG TÂM của bản cập nhật: nền 2H25 gần như bằng không.</t>
        </is>
      </c>
    </row>
    <row r="14">
      <c r="A14" s="6" t="n">
        <v>8</v>
      </c>
      <c r="B14" s="6" t="inlineStr">
        <is>
          <t>PBT 4Q25</t>
        </is>
      </c>
      <c r="C14" s="6" t="inlineStr">
        <is>
          <t>-3,360</t>
        </is>
      </c>
      <c r="D14" s="6" t="inlineStr">
        <is>
          <t>VNDbn</t>
        </is>
      </c>
      <c r="E14" s="6" t="inlineStr">
        <is>
          <t>DERIVED</t>
        </is>
      </c>
      <c r="F14" s="7">
        <f> 7,628 - 10,988</f>
        <v/>
      </c>
      <c r="G14" s="7" t="inlineStr">
        <is>
          <t>Lỗ trước thuế. Khớp với cột trích lập ~9,232 tỷ Q4/25 trong biểu đồ I/S của BC mobile.</t>
        </is>
      </c>
    </row>
    <row r="15">
      <c r="A15" s="6" t="n">
        <v>9</v>
      </c>
      <c r="B15" s="6" t="inlineStr">
        <is>
          <t>2H26 cần đạt</t>
        </is>
      </c>
      <c r="C15" s="6" t="inlineStr">
        <is>
          <t>4,319</t>
        </is>
      </c>
      <c r="D15" s="6" t="inlineStr">
        <is>
          <t>VNDbn</t>
        </is>
      </c>
      <c r="E15" s="6" t="inlineStr">
        <is>
          <t>DERIVED</t>
        </is>
      </c>
      <c r="F15" s="7">
        <f> 8,455 (dự phóng FY26F) - 4,136</f>
        <v/>
      </c>
      <c r="G15" s="7">
        <f> 14.5x nền 2H25 nhưng chỉ +4.4% so với 1H26. Đây là lý do 1H yếu chưa phá dự phóng.</f>
        <v/>
      </c>
    </row>
    <row r="16">
      <c r="B16" s="5" t="inlineStr">
        <is>
          <t>STB — CHẤT LƯỢNG TÀI SẢN 30/06/2026</t>
        </is>
      </c>
    </row>
    <row r="17">
      <c r="A17" s="6" t="n">
        <v>10</v>
      </c>
      <c r="B17" s="6" t="inlineStr">
        <is>
          <t>Tỷ lệ nợ xấu</t>
        </is>
      </c>
      <c r="C17" s="6" t="inlineStr">
        <is>
          <t>7.54</t>
        </is>
      </c>
      <c r="D17" s="6" t="inlineStr">
        <is>
          <t>%</t>
        </is>
      </c>
      <c r="E17" s="6" t="inlineStr">
        <is>
          <t>PRESS</t>
        </is>
      </c>
      <c r="F17" s="7" t="inlineStr">
        <is>
          <t>Cuối Q2/26, +1.13%p so đầu năm, cao nhất hệ thống</t>
        </is>
      </c>
      <c r="G17" s="7" t="inlineStr">
        <is>
          <t>MÂU THUẪN VỚI BẢN TRƯỚC: bản 24/07 ghi "ước ~5.6%, giảm từ 6.62%". Thực tế TĂNG. Cross-check: 6.41% cuối 2025 + 1.13%p = 7.54%, và 6.41% khớp biểu đồ nhóm nợ 4Q25 của BC mobile.</t>
        </is>
      </c>
    </row>
    <row r="18">
      <c r="A18" s="6" t="n">
        <v>11</v>
      </c>
      <c r="B18" s="6" t="inlineStr">
        <is>
          <t>Dư nợ nhóm 3-5</t>
        </is>
      </c>
      <c r="C18" s="6" t="inlineStr">
        <is>
          <t>47,957</t>
        </is>
      </c>
      <c r="D18" s="6" t="inlineStr">
        <is>
          <t>VNDbn</t>
        </is>
      </c>
      <c r="E18" s="6" t="inlineStr">
        <is>
          <t>PRESS</t>
        </is>
      </c>
      <c r="F18" s="7" t="inlineStr">
        <is>
          <t>30/06/2026, +~7,800 tỷ YTD, +~6,500 tỷ QoQ</t>
        </is>
      </c>
      <c r="G18" s="7" t="inlineStr">
        <is>
          <t>Hàm ý tổng dư nợ ~636,000 tỷ.</t>
        </is>
      </c>
    </row>
    <row r="19">
      <c r="A19" s="6" t="n">
        <v>12</v>
      </c>
      <c r="B19" s="6" t="inlineStr">
        <is>
          <t>Nợ nhóm 5</t>
        </is>
      </c>
      <c r="C19" s="6" t="inlineStr">
        <is>
          <t>~32,000 (~67% nợ xấu)</t>
        </is>
      </c>
      <c r="D19" s="6" t="inlineStr">
        <is>
          <t>VNDbn</t>
        </is>
      </c>
      <c r="E19" s="6" t="inlineStr">
        <is>
          <t>PRESS</t>
        </is>
      </c>
      <c r="F19" s="7" t="inlineStr"/>
      <c r="G19" s="7" t="inlineStr">
        <is>
          <t>Nhóm 4 tăng +156%.</t>
        </is>
      </c>
    </row>
    <row r="20">
      <c r="A20" s="6" t="n">
        <v>13</v>
      </c>
      <c r="B20" s="6" t="inlineStr">
        <is>
          <t>Trích lập 1Q26</t>
        </is>
      </c>
      <c r="C20" s="6" t="inlineStr">
        <is>
          <t>2,024</t>
        </is>
      </c>
      <c r="D20" s="6" t="inlineStr">
        <is>
          <t>VNDbn</t>
        </is>
      </c>
      <c r="E20" s="6" t="inlineStr">
        <is>
          <t>COMPANY</t>
        </is>
      </c>
      <c r="F20" s="7" t="inlineStr">
        <is>
          <t>BCTC Q1/2026</t>
        </is>
      </c>
      <c r="G20" s="7" t="inlineStr"/>
    </row>
    <row r="21">
      <c r="A21" s="6" t="n">
        <v>14</v>
      </c>
      <c r="B21" s="6" t="inlineStr">
        <is>
          <t>Trích lập 2Q26</t>
        </is>
      </c>
      <c r="C21" s="6" t="inlineStr">
        <is>
          <t>nặng hơn Q1</t>
        </is>
      </c>
      <c r="D21" s="6" t="inlineStr">
        <is>
          <t>VNDbn</t>
        </is>
      </c>
      <c r="E21" s="6" t="inlineStr">
        <is>
          <t>GAP</t>
        </is>
      </c>
      <c r="F21" s="7" t="inlineStr">
        <is>
          <t>Chưa có con số công bố chắc chắn</t>
        </is>
      </c>
      <c r="G21" s="7" t="inlineStr">
        <is>
          <t>Ước "vượt 4,700 tỷ" chỉ là guidance của CEO trong bản trước — KHÔNG dùng lại. Slide chỉ nói định tính.</t>
        </is>
      </c>
    </row>
    <row r="22">
      <c r="B22" s="5" t="inlineStr">
        <is>
          <t>STB — GIÁ VÀ BẢNG TÓM TẮT</t>
        </is>
      </c>
    </row>
    <row r="23">
      <c r="A23" s="6" t="n">
        <v>15</v>
      </c>
      <c r="B23" s="6" t="inlineStr">
        <is>
          <t>Thị giá</t>
        </is>
      </c>
      <c r="C23" s="6" t="inlineStr">
        <is>
          <t>72,500</t>
        </is>
      </c>
      <c r="D23" s="6" t="inlineStr">
        <is>
          <t>VND/cp</t>
        </is>
      </c>
      <c r="E23" s="6" t="inlineStr">
        <is>
          <t>PRESS</t>
        </is>
      </c>
      <c r="F23" s="7" t="inlineStr">
        <is>
          <t>21/07/2026</t>
        </is>
      </c>
      <c r="G23" s="7" t="inlineStr">
        <is>
          <t>TỪ SNIPPET TÌM KIẾM, KHÔNG PHẢI TERMINAL. Bản trước ghi 71,300 nhưng slide EN đề 05/06/26 còn slide VN đề 16/06/26 — hai ngày khác nhau cho cùng một giá. Đã thống nhất. CẦN CẬP NHẬT TRƯỚC KHI PHÁT HÀNH, nhất là sau KQKD 30/07.</t>
        </is>
      </c>
    </row>
    <row r="24">
      <c r="A24" s="6" t="n">
        <v>16</v>
      </c>
      <c r="B24" s="6" t="inlineStr">
        <is>
          <t>Lợi nhuận kỳ vọng</t>
        </is>
      </c>
      <c r="C24" s="6" t="inlineStr">
        <is>
          <t>+7.3</t>
        </is>
      </c>
      <c r="D24" s="6" t="inlineStr">
        <is>
          <t>%</t>
        </is>
      </c>
      <c r="E24" s="6" t="inlineStr">
        <is>
          <t>DERIVED</t>
        </is>
      </c>
      <c r="F24" s="7">
        <f> 77,800 / 72,500 - 1</f>
        <v/>
      </c>
      <c r="G24" s="7" t="inlineStr"/>
    </row>
    <row r="25">
      <c r="A25" s="6" t="n">
        <v>17</v>
      </c>
      <c r="B25" s="6" t="inlineStr">
        <is>
          <t>NPATMI 26F trong bảng tóm tắt</t>
        </is>
      </c>
      <c r="C25" s="6" t="inlineStr">
        <is>
          <t>6,583</t>
        </is>
      </c>
      <c r="D25" s="6" t="inlineStr">
        <is>
          <t>VNDbn</t>
        </is>
      </c>
      <c r="E25" s="6" t="inlineStr">
        <is>
          <t>MAS</t>
        </is>
      </c>
      <c r="F25" s="7" t="inlineStr">
        <is>
          <t>Stock_Pick...updated.xlsx</t>
        </is>
      </c>
      <c r="G25" s="7" t="inlineStr">
        <is>
          <t>ĐÃ SỬA LỖI: bảng tóm tắt trước ghi 6,263 trong khi bảng FY cùng slide ghi 6,583 — hai số khác nhau trên cùng một trang.</t>
        </is>
      </c>
    </row>
    <row r="26">
      <c r="B26" s="5" t="inlineStr">
        <is>
          <t>FPT — KHÔNG CÓ SỐ MỚI</t>
        </is>
      </c>
    </row>
    <row r="27">
      <c r="A27" s="6" t="n">
        <v>18</v>
      </c>
      <c r="B27" s="6" t="inlineStr">
        <is>
          <t>KQKD 1H26</t>
        </is>
      </c>
      <c r="C27" s="6" t="inlineStr">
        <is>
          <t>đã là số công bố</t>
        </is>
      </c>
      <c r="D27" s="6" t="inlineStr"/>
      <c r="E27" s="6" t="inlineStr">
        <is>
          <t>COMPANY</t>
        </is>
      </c>
      <c r="F27" s="7" t="inlineStr">
        <is>
          <t>Doanh thu 26,269 tỷ (+12.6%), LNTT 5,714 tỷ (+18.1%)</t>
        </is>
      </c>
      <c r="G27" s="7" t="inlineStr">
        <is>
          <t>Không thay đổi. FPT công bố theo tháng, số 7T/2026 dự kiến khoảng 20/08 nên chưa có gì mới sau 24/07.</t>
        </is>
      </c>
    </row>
    <row r="28">
      <c r="A28" s="6" t="n">
        <v>19</v>
      </c>
      <c r="B28" s="6" t="inlineStr">
        <is>
          <t>Khối ngoại bán ròng</t>
        </is>
      </c>
      <c r="C28" s="6" t="inlineStr">
        <is>
          <t>hơn 16,000</t>
        </is>
      </c>
      <c r="D28" s="6" t="inlineStr">
        <is>
          <t>VNDbn</t>
        </is>
      </c>
      <c r="E28" s="6" t="inlineStr">
        <is>
          <t>PRESS</t>
        </is>
      </c>
      <c r="F28" s="7" t="inlineStr">
        <is>
          <t>Lũy kế từ đầu năm 2026</t>
        </is>
      </c>
      <c r="G28" s="7" t="inlineStr">
        <is>
          <t>Đã đổi từ "~16.8 nghìn tỷ" sang "hơn 16 nghìn tỷ" vì nguồn gần nhất ghi 16,500 tỷ mà không rõ ngày chốt — nói "hơn 16" thì đúng với cả hai.</t>
        </is>
      </c>
    </row>
    <row r="29">
      <c r="A29" s="6" t="n">
        <v>20</v>
      </c>
      <c r="B29" s="6" t="inlineStr">
        <is>
          <t>Phiên 15/07</t>
        </is>
      </c>
      <c r="C29" s="6" t="inlineStr">
        <is>
          <t>giảm 5% về 66,800đ, bán ròng 346 tỷ</t>
        </is>
      </c>
      <c r="D29" s="6" t="inlineStr">
        <is>
          <t>VND</t>
        </is>
      </c>
      <c r="E29" s="6" t="inlineStr">
        <is>
          <t>PRESS</t>
        </is>
      </c>
      <c r="F29" s="7" t="inlineStr">
        <is>
          <t>Phiên bán ròng mạnh nhất tháng 7</t>
        </is>
      </c>
      <c r="G29" s="7" t="inlineStr">
        <is>
          <t>Mới thêm vào slide.</t>
        </is>
      </c>
    </row>
    <row r="30">
      <c r="A30" s="6" t="n">
        <v>21</v>
      </c>
      <c r="B30" s="6" t="inlineStr">
        <is>
          <t>Áp lực bán đã dịu</t>
        </is>
      </c>
      <c r="C30" s="6" t="inlineStr">
        <is>
          <t>—</t>
        </is>
      </c>
      <c r="D30" s="6" t="inlineStr"/>
      <c r="E30" s="6" t="inlineStr">
        <is>
          <t>PRESS</t>
        </is>
      </c>
      <c r="F30" s="7" t="inlineStr">
        <is>
          <t>Cuối tháng 7: khối ngoại giảm bán, dòng tiền nội nhập cuộc</t>
        </is>
      </c>
      <c r="G30" s="7" t="inlineStr">
        <is>
          <t>Mới thêm vào slide, chỉ nêu định tính.</t>
        </is>
      </c>
    </row>
    <row r="31">
      <c r="A31" s="6" t="n">
        <v>22</v>
      </c>
      <c r="B31" s="6" t="inlineStr">
        <is>
          <t>Thị giá FPT</t>
        </is>
      </c>
      <c r="C31" s="6" t="inlineStr">
        <is>
          <t>62,900 (24/07/26)</t>
        </is>
      </c>
      <c r="D31" s="6" t="inlineStr">
        <is>
          <t>VND/cp</t>
        </is>
      </c>
      <c r="E31" s="6" t="inlineStr">
        <is>
          <t>MAS</t>
        </is>
      </c>
      <c r="F31" s="7" t="inlineStr">
        <is>
          <t>Giữ nguyên theo bản 24/07</t>
        </is>
      </c>
      <c r="G31" s="7" t="inlineStr">
        <is>
          <t>CHƯA CẬP NHẬT — không lấy được giá mới hơn từ nguồn công khai (FiinQuant chưa authorize).</t>
        </is>
      </c>
    </row>
    <row r="32">
      <c r="B32" s="5" t="inlineStr">
        <is>
          <t>KIỂM TRA SỐ HỌC — tất cả đều đạt</t>
        </is>
      </c>
    </row>
    <row r="33">
      <c r="A33" s="6" t="n">
        <v>23</v>
      </c>
      <c r="B33" s="6" t="inlineStr">
        <is>
          <t>1H26 -43.6% = 4,136/7,331</t>
        </is>
      </c>
      <c r="C33" s="6" t="inlineStr">
        <is>
          <t>đạt</t>
        </is>
      </c>
      <c r="D33" s="6" t="inlineStr"/>
      <c r="E33" s="6" t="inlineStr">
        <is>
          <t>CHECK</t>
        </is>
      </c>
      <c r="F33" s="7" t="inlineStr"/>
      <c r="G33" s="7" t="inlineStr"/>
    </row>
    <row r="34">
      <c r="A34" s="6" t="n">
        <v>24</v>
      </c>
      <c r="B34" s="6" t="inlineStr">
        <is>
          <t>2Q26 2,030 = 4,136-2,106</t>
        </is>
      </c>
      <c r="C34" s="6" t="inlineStr">
        <is>
          <t>đạt</t>
        </is>
      </c>
      <c r="D34" s="6" t="inlineStr"/>
      <c r="E34" s="6" t="inlineStr">
        <is>
          <t>CHECK</t>
        </is>
      </c>
      <c r="F34" s="7" t="inlineStr"/>
      <c r="G34" s="7" t="inlineStr"/>
    </row>
    <row r="35">
      <c r="A35" s="6" t="n">
        <v>25</v>
      </c>
      <c r="B35" s="6" t="inlineStr">
        <is>
          <t>2H25 297 = 7,628-7,331</t>
        </is>
      </c>
      <c r="C35" s="6" t="inlineStr">
        <is>
          <t>đạt</t>
        </is>
      </c>
      <c r="D35" s="6" t="inlineStr"/>
      <c r="E35" s="6" t="inlineStr">
        <is>
          <t>CHECK</t>
        </is>
      </c>
      <c r="F35" s="7" t="inlineStr"/>
      <c r="G35" s="7" t="inlineStr"/>
    </row>
    <row r="36">
      <c r="A36" s="6" t="n">
        <v>26</v>
      </c>
      <c r="B36" s="6" t="inlineStr">
        <is>
          <t>4Q25 -3,360 = 7,628-10,988</t>
        </is>
      </c>
      <c r="C36" s="6" t="inlineStr">
        <is>
          <t>đạt</t>
        </is>
      </c>
      <c r="D36" s="6" t="inlineStr"/>
      <c r="E36" s="6" t="inlineStr">
        <is>
          <t>CHECK</t>
        </is>
      </c>
      <c r="F36" s="7" t="inlineStr"/>
      <c r="G36" s="7" t="inlineStr"/>
    </row>
    <row r="37">
      <c r="A37" s="6" t="n">
        <v>27</v>
      </c>
      <c r="B37" s="6" t="inlineStr">
        <is>
          <t>2H26 4,319 = 8,455-4,136; 14.5x nền; +4.4% QoQ</t>
        </is>
      </c>
      <c r="C37" s="6" t="inlineStr">
        <is>
          <t>đạt</t>
        </is>
      </c>
      <c r="D37" s="6" t="inlineStr"/>
      <c r="E37" s="6" t="inlineStr">
        <is>
          <t>CHECK</t>
        </is>
      </c>
      <c r="F37" s="7" t="inlineStr"/>
      <c r="G37" s="7" t="inlineStr"/>
    </row>
    <row r="38">
      <c r="A38" s="6" t="n">
        <v>28</v>
      </c>
      <c r="B38" s="6" t="inlineStr">
        <is>
          <t>51% kế hoạch = 4,136/8,100</t>
        </is>
      </c>
      <c r="C38" s="6" t="inlineStr">
        <is>
          <t>đạt</t>
        </is>
      </c>
      <c r="D38" s="6" t="inlineStr"/>
      <c r="E38" s="6" t="inlineStr">
        <is>
          <t>CHECK</t>
        </is>
      </c>
      <c r="F38" s="7" t="inlineStr"/>
      <c r="G38" s="7" t="inlineStr"/>
    </row>
    <row r="39">
      <c r="A39" s="6" t="n">
        <v>29</v>
      </c>
      <c r="B39" s="6" t="inlineStr">
        <is>
          <t>Nhóm 5 67% = 32,000/47,957</t>
        </is>
      </c>
      <c r="C39" s="6" t="inlineStr">
        <is>
          <t>đạt</t>
        </is>
      </c>
      <c r="D39" s="6" t="inlineStr"/>
      <c r="E39" s="6" t="inlineStr">
        <is>
          <t>CHECK</t>
        </is>
      </c>
      <c r="F39" s="7" t="inlineStr"/>
      <c r="G39" s="7" t="inlineStr"/>
    </row>
    <row r="40">
      <c r="A40" s="6" t="n">
        <v>30</v>
      </c>
      <c r="B40" s="6" t="inlineStr">
        <is>
          <t>TP 2.4x P/B = 77,800/32,281</t>
        </is>
      </c>
      <c r="C40" s="6" t="inlineStr">
        <is>
          <t>đạt</t>
        </is>
      </c>
      <c r="D40" s="6" t="inlineStr"/>
      <c r="E40" s="6" t="inlineStr">
        <is>
          <t>CHECK</t>
        </is>
      </c>
      <c r="F40" s="7" t="inlineStr"/>
      <c r="G40" s="7" t="inlineStr"/>
    </row>
    <row r="41">
      <c r="A41" s="6" t="n">
        <v>31</v>
      </c>
      <c r="B41" s="6" t="inlineStr">
        <is>
          <t>FPT 10.4x = 62,900/6,046</t>
        </is>
      </c>
      <c r="C41" s="6" t="inlineStr">
        <is>
          <t>đạt</t>
        </is>
      </c>
      <c r="D41" s="6" t="inlineStr"/>
      <c r="E41" s="6" t="inlineStr">
        <is>
          <t>CHECK</t>
        </is>
      </c>
      <c r="F41" s="7" t="inlineStr"/>
      <c r="G41" s="7" t="inlineStr"/>
    </row>
    <row r="42">
      <c r="A42" s="6" t="n">
        <v>32</v>
      </c>
      <c r="B42" s="6" t="inlineStr">
        <is>
          <t>FPT +25% = 78,750/62,900</t>
        </is>
      </c>
      <c r="C42" s="6" t="inlineStr">
        <is>
          <t>đạt</t>
        </is>
      </c>
      <c r="D42" s="6" t="inlineStr"/>
      <c r="E42" s="6" t="inlineStr">
        <is>
          <t>CHECK</t>
        </is>
      </c>
      <c r="F42" s="7" t="inlineStr"/>
      <c r="G42" s="7" t="inlineStr"/>
    </row>
    <row r="43">
      <c r="A43" s="6" t="n">
        <v>33</v>
      </c>
      <c r="B43" s="6" t="inlineStr">
        <is>
          <t>FPT PBT 13,069 -&gt; NPATMI 10,943</t>
        </is>
      </c>
      <c r="C43" s="6" t="inlineStr">
        <is>
          <t>đạt</t>
        </is>
      </c>
      <c r="D43" s="6" t="inlineStr"/>
      <c r="E43" s="6" t="inlineStr">
        <is>
          <t>CHECK</t>
        </is>
      </c>
      <c r="F43" s="7" t="inlineStr"/>
      <c r="G43" s="7" t="inlineStr"/>
    </row>
    <row r="44">
      <c r="B44" s="5" t="inlineStr">
        <is>
          <t>CÒN TỒN — cần quyết</t>
        </is>
      </c>
    </row>
    <row r="45">
      <c r="A45" s="6" t="n">
        <v>34</v>
      </c>
      <c r="B45" s="6" t="inlineStr">
        <is>
          <t>G1 Xếp hạng và giá mục tiêu STB</t>
        </is>
      </c>
      <c r="C45" s="6" t="inlineStr">
        <is>
          <t>NẮM GIỮ / 77,800</t>
        </is>
      </c>
      <c r="D45" s="6" t="inlineStr"/>
      <c r="E45" s="6" t="inlineStr">
        <is>
          <t>GAP</t>
        </is>
      </c>
      <c r="F45" s="7" t="inlineStr"/>
      <c r="G45" s="7" t="inlineStr">
        <is>
          <t>TP 77,800 tương đương 2.4x P/B FY26F cho ngân hàng có nợ xấu cao nhất hệ thống (7.54%). Slide đã ghi "đang rà soát" chứ chưa đổi — đây là quyết định của anh.</t>
        </is>
      </c>
    </row>
    <row r="46">
      <c r="A46" s="6" t="n">
        <v>35</v>
      </c>
      <c r="B46" s="6" t="inlineStr">
        <is>
          <t>G2 Giả định nợ xấu FY26F</t>
        </is>
      </c>
      <c r="C46" s="6" t="inlineStr">
        <is>
          <t>dưới 4.5%</t>
        </is>
      </c>
      <c r="D46" s="6" t="inlineStr"/>
      <c r="E46" s="6" t="inlineStr">
        <is>
          <t>GAP</t>
        </is>
      </c>
      <c r="F46" s="7" t="inlineStr"/>
      <c r="G46" s="7" t="inlineStr">
        <is>
          <t>Không còn khả thi khi giữa năm ở 7.54%. Mô hình chưa sửa.</t>
        </is>
      </c>
    </row>
    <row r="47">
      <c r="A47" s="6" t="n">
        <v>36</v>
      </c>
      <c r="B47" s="6" t="inlineStr">
        <is>
          <t>G3 Chi phí dự phòng FY26F</t>
        </is>
      </c>
      <c r="C47" s="6" t="inlineStr">
        <is>
          <t>10.4 nghìn tỷ (-8.9%)</t>
        </is>
      </c>
      <c r="D47" s="6" t="inlineStr"/>
      <c r="E47" s="6" t="inlineStr">
        <is>
          <t>GAP</t>
        </is>
      </c>
      <c r="F47" s="7" t="inlineStr"/>
      <c r="G47" s="7" t="inlineStr">
        <is>
          <t>Có vẻ thấp so với thực tế 1H26. Mô hình chưa sửa.</t>
        </is>
      </c>
    </row>
    <row r="48">
      <c r="A48" s="6" t="n">
        <v>37</v>
      </c>
      <c r="B48" s="6" t="inlineStr">
        <is>
          <t>G4 Hiệu suất giá 1T/6T/12T</t>
        </is>
      </c>
      <c r="C48" s="6" t="inlineStr">
        <is>
          <t>9.5 / 28.3 / 68.6</t>
        </is>
      </c>
      <c r="D48" s="6" t="inlineStr">
        <is>
          <t>%</t>
        </is>
      </c>
      <c r="E48" s="6" t="inlineStr">
        <is>
          <t>GAP</t>
        </is>
      </c>
      <c r="F48" s="7" t="inlineStr"/>
      <c r="G48" s="7" t="inlineStr">
        <is>
          <t>Chưa cập nhật được, không có dữ liệu thị trường.</t>
        </is>
      </c>
    </row>
    <row r="49">
      <c r="A49" s="6" t="n">
        <v>38</v>
      </c>
      <c r="B49" s="6" t="inlineStr">
        <is>
          <t>G5 Biểu đồ giá và logo FPT</t>
        </is>
      </c>
      <c r="C49" s="6" t="inlineStr">
        <is>
          <t>placeholder</t>
        </is>
      </c>
      <c r="D49" s="6" t="inlineStr"/>
      <c r="E49" s="6" t="inlineStr">
        <is>
          <t>GAP</t>
        </is>
      </c>
      <c r="F49" s="7" t="inlineStr"/>
      <c r="G49" s="7" t="inlineStr">
        <is>
          <t>Vẫn là chỗ trống chờ export từ FiinPro.</t>
        </is>
      </c>
    </row>
    <row r="50">
      <c r="A50" s="6" t="n">
        <v>39</v>
      </c>
      <c r="B50" s="6" t="inlineStr">
        <is>
          <t>G6 Ghi chú hợp nhất FPT Telecom</t>
        </is>
      </c>
      <c r="C50" s="6" t="inlineStr">
        <is>
          <t>giữ nguyên</t>
        </is>
      </c>
      <c r="D50" s="6" t="inlineStr"/>
      <c r="E50" s="6" t="inlineStr">
        <is>
          <t>GAP</t>
        </is>
      </c>
      <c r="F50" s="7" t="inlineStr"/>
      <c r="G50" s="7" t="inlineStr">
        <is>
          <t>Quản lý từng yêu cầu bỏ phần deconsolidation. Ghi chú vẫn còn vì nếu bỏ thì chuỗi doanh thu FY25 70,208 -&gt; FY26F 57,284 không giải thích được. Cần anh xác nhận cách xử lý.</t>
        </is>
      </c>
    </row>
    <row r="51">
      <c r="A51" s="6" t="n">
        <v>40</v>
      </c>
      <c r="B51" s="6" t="inlineStr">
        <is>
          <t>G7 ROE trong bảng FY của FPT</t>
        </is>
      </c>
      <c r="C51" s="6" t="inlineStr">
        <is>
          <t>27.5% FY26F</t>
        </is>
      </c>
      <c r="D51" s="6" t="inlineStr"/>
      <c r="E51" s="6" t="inlineStr">
        <is>
          <t>GAP</t>
        </is>
      </c>
      <c r="F51" s="7" t="inlineStr"/>
      <c r="G51" s="7" t="inlineStr">
        <is>
          <t>Không tái lập được: 10,943/VCSH cuối kỳ 50,157 = 21.8%, /VCSH bình quân = 23.3%. STB thì tính trên VCSH cuối kỳ (9.9% khớp). Hai bảng dùng cơ sở khác nhau.</t>
        </is>
      </c>
    </row>
    <row r="52">
      <c r="A52" s="6" t="n">
        <v>41</v>
      </c>
      <c r="B52" s="6" t="inlineStr">
        <is>
          <t>G8 Không QA được bố cục</t>
        </is>
      </c>
      <c r="C52" s="6" t="inlineStr">
        <is>
          <t>—</t>
        </is>
      </c>
      <c r="D52" s="6" t="inlineStr"/>
      <c r="E52" s="6" t="inlineStr">
        <is>
          <t>GAP</t>
        </is>
      </c>
      <c r="F52" s="7" t="inlineStr"/>
      <c r="G52" s="7" t="inlineStr">
        <is>
          <t>LibreOffice trong môi trường này không mở được file Office. Chỉ kiểm tra được nội dung và số liệu qua XML.</t>
        </is>
      </c>
    </row>
    <row r="54">
      <c r="B54" s="5" t="inlineStr">
        <is>
          <t>VĂN PHONG — chuẩn theo báo cáo mẫu của MAS</t>
        </is>
      </c>
    </row>
    <row r="55">
      <c r="A55" s="6" t="n">
        <v>1</v>
      </c>
      <c r="B55" s="6" t="inlineStr">
        <is>
          <t>Tài liệu tham chiếu</t>
        </is>
      </c>
      <c r="C55" s="6" t="inlineStr">
        <is>
          <t>Stock recommendation_Sep 2023_MAS_ed_FPT_231206.pptx</t>
        </is>
      </c>
      <c r="D55" s="6" t="inlineStr"/>
      <c r="E55" s="6" t="inlineStr">
        <is>
          <t>Drive</t>
        </is>
      </c>
      <c r="F55" s="7" t="inlineStr">
        <is>
          <t>Google Drive, id 1wojjO5BQxFz7EGWc4giljFXwmpYvboia</t>
        </is>
      </c>
      <c r="G55" s="7" t="inlineStr">
        <is>
          <t>Chính là bản tiền thân của template đang dùng: cùng bảng, cùng mục "Investment points", cùng dòng ký tên chuyên viên. Có sẵn trang ngân hàng (MBB) để đối chiếu văn phong cho STB.</t>
        </is>
      </c>
    </row>
    <row r="56">
      <c r="A56" s="6" t="n">
        <v>2</v>
      </c>
      <c r="B56" s="6" t="inlineStr">
        <is>
          <t>Quy ước 1 — nhãn mục</t>
        </is>
      </c>
      <c r="C56" s="6" t="inlineStr">
        <is>
          <t>nêu kết luận, kết thúc bằng dấu hai chấm</t>
        </is>
      </c>
      <c r="D56" s="6" t="inlineStr"/>
      <c r="E56" s="6" t="inlineStr">
        <is>
          <t>FORMAT</t>
        </is>
      </c>
      <c r="F56" s="7" t="inlineStr">
        <is>
          <t>Mẫu: "NIM likely to slightly improve in 2024:", "Stronger than industry credit growth:", "NPL has seen deterioration, but MB's NPL is still low:"</t>
        </is>
      </c>
      <c r="G56" s="7" t="inlineStr">
        <is>
          <t>Đã áp dụng: "1H26 results came in below expectations:", "Asset quality has deteriorated beyond management guidance:", "FY26F PBT remains attainable on a low 2H25 base:"</t>
        </is>
      </c>
    </row>
    <row r="57">
      <c r="A57" s="6" t="n">
        <v>3</v>
      </c>
      <c r="B57" s="6" t="inlineStr">
        <is>
          <t>Quy ước 2 — giọng văn</t>
        </is>
      </c>
      <c r="C57" s="6" t="inlineStr">
        <is>
          <t>trần thuật, phi cá nhân</t>
        </is>
      </c>
      <c r="D57" s="6" t="inlineStr"/>
      <c r="E57" s="6" t="inlineStr">
        <is>
          <t>FORMAT</t>
        </is>
      </c>
      <c r="F57" s="7" t="inlineStr">
        <is>
          <t>Mẫu: "The asset quality has declined but remains better than the industry average."</t>
        </is>
      </c>
      <c r="G57" s="7" t="inlineStr">
        <is>
          <t>Đã bỏ các cách nói báo chí: swamp / moved the wrong way / swing factor / Why the stock sits at / newsflow has run the other way / stepped in; và bào mòn / đi ngược kỳ vọng / biến số quyết định / làm hỏng / gánh phần / nhập cuộc.</t>
        </is>
      </c>
    </row>
    <row r="58">
      <c r="A58" s="6" t="n">
        <v>4</v>
      </c>
      <c r="B58" s="6" t="inlineStr">
        <is>
          <t>Quy ước 3 — mục Risks</t>
        </is>
      </c>
      <c r="C58" s="6" t="inlineStr">
        <is>
          <t>đánh số (1) (2) (3) ở cuối trang</t>
        </is>
      </c>
      <c r="D58" s="6" t="inlineStr"/>
      <c r="E58" s="6" t="inlineStr">
        <is>
          <t>FORMAT</t>
        </is>
      </c>
      <c r="F58" s="7" t="inlineStr">
        <is>
          <t>Mẫu: "Risks: (1) ... (2) lackluster demand for credit"</t>
        </is>
      </c>
      <c r="G58" s="7" t="inlineStr">
        <is>
          <t>Đã thêm dòng Rủi ro đánh số vào cả hai trang STB (trước đây không có) và chuyển dòng rủi ro của FPT sang dạng đánh số.</t>
        </is>
      </c>
    </row>
    <row r="59">
      <c r="A59" s="6" t="n">
        <v>5</v>
      </c>
      <c r="B59" s="6" t="inlineStr">
        <is>
          <t>Quy ước 4 — tiêu đề trang</t>
        </is>
      </c>
      <c r="C59" s="6" t="inlineStr">
        <is>
          <t>cụm ngắn, có thể hình ảnh hóa vừa phải</t>
        </is>
      </c>
      <c r="D59" s="6" t="inlineStr"/>
      <c r="E59" s="6" t="inlineStr">
        <is>
          <t>FORMAT</t>
        </is>
      </c>
      <c r="F59" s="7" t="inlineStr">
        <is>
          <t>Mẫu cấp báo cáo: "Riding a wave of transformation"</t>
        </is>
      </c>
      <c r="G59" s="7" t="inlineStr">
        <is>
          <t>Tiêu đề STB đổi từ "Provisions swamp 1H..." sang "Asset quality deteriorates; provisioning to stay elevated" / "Chất lượng tài sản suy giảm, áp lực dự phòng còn kéo dài".</t>
        </is>
      </c>
    </row>
    <row r="60">
      <c r="A60" s="6" t="n">
        <v>6</v>
      </c>
      <c r="B60" s="6" t="inlineStr">
        <is>
          <t>Kiểm tra tự động</t>
        </is>
      </c>
      <c r="C60" s="6" t="inlineStr">
        <is>
          <t>13/13 phép tính đạt, không còn cụm thân mật</t>
        </is>
      </c>
      <c r="D60" s="6" t="inlineStr"/>
      <c r="E60" s="6" t="inlineStr">
        <is>
          <t>CHECK</t>
        </is>
      </c>
      <c r="F60" s="7" t="inlineStr"/>
      <c r="G60" s="7" t="inlineStr">
        <is>
          <t>Số liệu không đổi sau khi sửa văn phong — chỉ thay cách diễn đạt.</t>
        </is>
      </c>
    </row>
    <row r="62">
      <c r="B62" s="5" t="inlineStr">
        <is>
          <t>FPT — TRANH LUẬN VỀ AI (nội dung mở rộng +15%)</t>
        </is>
      </c>
    </row>
    <row r="63">
      <c r="A63" s="6" t="n">
        <v>1</v>
      </c>
      <c r="B63" s="6" t="inlineStr">
        <is>
          <t>Infosys — doanh thu AI</t>
        </is>
      </c>
      <c r="C63" s="6" t="inlineStr">
        <is>
          <t>8.2% doanh số Q1 FY27</t>
        </is>
      </c>
      <c r="D63" s="6" t="inlineStr">
        <is>
          <t>%</t>
        </is>
      </c>
      <c r="E63" s="6" t="inlineStr">
        <is>
          <t>PRESS/COMPANY</t>
        </is>
      </c>
      <c r="F63" s="7" t="inlineStr">
        <is>
          <t>Công bố KQKD Q1 FY27, 22-23/07/2026; doanh thu Q1 5,082 triệu USD (+2.4% CK, +1.0% QoQ theo tỷ giá cố định)</t>
        </is>
      </c>
      <c r="G63" s="7" t="inlineStr">
        <is>
          <t>Số then chốt cho lập luận "AI thay thế chứ không cộng thêm": AI đã chiếm 8.2% doanh thu mà tổng doanh thu vẫn chỉ tăng 2-3%.</t>
        </is>
      </c>
    </row>
    <row r="64">
      <c r="A64" s="6" t="n">
        <v>2</v>
      </c>
      <c r="B64" s="6" t="inlineStr">
        <is>
          <t>Infosys — dự báo FY27</t>
        </is>
      </c>
      <c r="C64" s="6" t="inlineStr">
        <is>
          <t>1.5-3.0% theo tỷ giá cố định</t>
        </is>
      </c>
      <c r="D64" s="6" t="inlineStr">
        <is>
          <t>%</t>
        </is>
      </c>
      <c r="E64" s="6" t="inlineStr">
        <is>
          <t>COMPANY</t>
        </is>
      </c>
      <c r="F64" s="7" t="inlineStr">
        <is>
          <t>Hạ từ khoảng 1.5-3.5%; biên LNHĐ giữ 20-22%</t>
        </is>
      </c>
      <c r="G64" s="7" t="inlineStr">
        <is>
          <t>Đã dùng đúng con số sau khi hạ (1.5-3.0%), không dùng bản cũ.</t>
        </is>
      </c>
    </row>
    <row r="65">
      <c r="A65" s="6" t="n">
        <v>3</v>
      </c>
      <c r="B65" s="6" t="inlineStr">
        <is>
          <t>TCS — tăng trưởng Q1 FY27</t>
        </is>
      </c>
      <c r="C65" s="6" t="inlineStr">
        <is>
          <t>+3.2% CK theo tỷ giá cố định</t>
        </is>
      </c>
      <c r="D65" s="6" t="inlineStr">
        <is>
          <t>%</t>
        </is>
      </c>
      <c r="E65" s="6" t="inlineStr">
        <is>
          <t>COMPANY</t>
        </is>
      </c>
      <c r="F65" s="7" t="inlineStr">
        <is>
          <t>Doanh thu 7,624 triệu USD, +2.7% CK theo USD; +0.4% QoQ theo tỷ giá cố định</t>
        </is>
      </c>
      <c r="G65" s="7" t="inlineStr">
        <is>
          <t>Dùng số theo tỷ giá cố định cho nhất quán với Infosys.</t>
        </is>
      </c>
    </row>
    <row r="66">
      <c r="A66" s="6" t="n">
        <v>4</v>
      </c>
      <c r="B66" s="6" t="inlineStr">
        <is>
          <t>TCS — tuyển ròng Q1 FY27</t>
        </is>
      </c>
      <c r="C66" s="6" t="inlineStr">
        <is>
          <t>9,279 nhân sự</t>
        </is>
      </c>
      <c r="D66" s="6" t="inlineStr">
        <is>
          <t>người</t>
        </is>
      </c>
      <c r="E66" s="6" t="inlineStr">
        <is>
          <t>COMPANY</t>
        </is>
      </c>
      <c r="F66" s="7" t="inlineStr">
        <is>
          <t>Nhân sự tăng từ 584,519 lên 593,798</t>
        </is>
      </c>
      <c r="G66" s="7" t="inlineStr">
        <is>
          <t>Số cho lập luận ngược lại (AI vẫn bổ sung nhu cầu). 593,798 - 584,519 = 9,279, khớp.</t>
        </is>
      </c>
    </row>
    <row r="67">
      <c r="A67" s="6" t="n">
        <v>5</v>
      </c>
      <c r="B67" s="6" t="inlineStr">
        <is>
          <t>FPT — CNTT nước ngoài 6T26</t>
        </is>
      </c>
      <c r="C67" s="6" t="inlineStr">
        <is>
          <t>+13.4% CK</t>
        </is>
      </c>
      <c r="D67" s="6" t="inlineStr">
        <is>
          <t>%</t>
        </is>
      </c>
      <c r="E67" s="6" t="inlineStr">
        <is>
          <t>COMPANY</t>
        </is>
      </c>
      <c r="F67" s="7" t="inlineStr">
        <is>
          <t>Đã có sẵn trong bản trước</t>
        </is>
      </c>
      <c r="G67" s="7" t="inlineStr">
        <is>
          <t>So sánh trực tiếp với 2-3% của nhóm Ấn Độ — đây là điểm đối chiếu mạnh nhất và đều lấy từ công bố chính thức của các bên.</t>
        </is>
      </c>
    </row>
    <row r="68">
      <c r="A68" s="6" t="n">
        <v>6</v>
      </c>
      <c r="B68" s="6" t="inlineStr">
        <is>
          <t>MAS — cách phản ánh rủi ro AI</t>
        </is>
      </c>
      <c r="C68" s="6" t="inlineStr">
        <is>
          <t>ERP 7.8% -&gt; 8.9%; g dài hạn 2.5% -&gt; 1.5%</t>
        </is>
      </c>
      <c r="D68" s="6" t="inlineStr"/>
      <c r="E68" s="6" t="inlineStr">
        <is>
          <t>MAS</t>
        </is>
      </c>
      <c r="F68" s="7" t="inlineStr">
        <is>
          <t>Stock_Pick...updated.xlsx, ô Valuation của FPT: "higher discount rate and lower long-term growth to reflect the risk that AI lowers prices for IT services"</t>
        </is>
      </c>
      <c r="G68" s="7" t="inlineStr">
        <is>
          <t>ĐÃ CÓ TRONG MÔ HÌNH NHƯNG TRƯỚC ĐÂY KHÔNG XUẤT HIỆN TRÊN SLIDE. Nay nêu rõ: giá mục tiêu hạ từ 91,570 xuống 78,750 chính là cách chúng tôi định giá rủi ro AI.</t>
        </is>
      </c>
    </row>
    <row r="69">
      <c r="A69" s="6" t="n">
        <v>7</v>
      </c>
      <c r="B69" s="6" t="inlineStr">
        <is>
          <t>Nguồn bị loại</t>
        </is>
      </c>
      <c r="C69" s="6" t="inlineStr">
        <is>
          <t>các blog tư vấn outsourcing</t>
        </is>
      </c>
      <c r="D69" s="6" t="inlineStr"/>
      <c r="E69" s="6" t="inlineStr">
        <is>
          <t>REJECTED</t>
        </is>
      </c>
      <c r="F69" s="7" t="inlineStr">
        <is>
          <t>Một số kết quả tìm kiếm là bài marketing của công ty tư vấn/BPO</t>
        </is>
      </c>
      <c r="G69" s="7" t="inlineStr">
        <is>
          <t>KHÔNG dùng, theo quy tắc đã đặt sau vụ website bán hàng của VRE. Chỉ giữ số từ công bố KQKD của Infosys và TCS.</t>
        </is>
      </c>
    </row>
    <row r="70">
      <c r="A70" s="6" t="n">
        <v>8</v>
      </c>
      <c r="B70" s="6" t="inlineStr">
        <is>
          <t>Độ dài</t>
        </is>
      </c>
      <c r="C70" s="6" t="inlineStr">
        <is>
          <t>EN +15.8%, VN +14.9%</t>
        </is>
      </c>
      <c r="D70" s="6" t="inlineStr">
        <is>
          <t>%</t>
        </is>
      </c>
      <c r="E70" s="6" t="inlineStr">
        <is>
          <t>CHECK</t>
        </is>
      </c>
      <c r="F70" s="7" t="inlineStr">
        <is>
          <t>So với bản đã gửi lượt trước (3,056 và 2,994 ký tự)</t>
        </is>
      </c>
      <c r="G70" s="7" t="inlineStr">
        <is>
          <t>Bù lại bằng cách rút gọn phần diễn biến giá và danh sách hợp đồng, giữ nguyên hai đoạn KQKD.</t>
        </is>
      </c>
    </row>
    <row r="71">
      <c r="A71" s="6" t="inlineStr"/>
      <c r="B71" s="6" t="inlineStr">
        <is>
          <t>Độ dài đoạn AI (sửa lần 2)</t>
        </is>
      </c>
      <c r="C71" s="6" t="inlineStr">
        <is>
          <t>EN 100 từ / VN 125 từ</t>
        </is>
      </c>
      <c r="D71" s="6" t="inlineStr"/>
      <c r="E71" s="6" t="inlineStr">
        <is>
          <t>CHECK</t>
        </is>
      </c>
      <c r="F71" s="7" t="inlineStr"/>
      <c r="G71" s="7" t="inlineStr">
        <is>
          <t>Yêu cầu 50-100 từ. Tiếng Việt đơn âm nên cùng một nội dung đếm ra nhiều từ hơn khoảng 25%; đây là bản dịch sát của đoạn tiếng Anh 100 từ.</t>
        </is>
      </c>
    </row>
    <row r="72">
      <c r="A72" s="6" t="inlineStr"/>
      <c r="B72" s="6" t="inlineStr">
        <is>
          <t>Tổng độ dài trang FPT</t>
        </is>
      </c>
      <c r="C72" s="6" t="inlineStr">
        <is>
          <t>EN -2.0% / VN -3.1% so với bản trước</t>
        </is>
      </c>
      <c r="D72" s="6" t="inlineStr"/>
      <c r="E72" s="6" t="inlineStr">
        <is>
          <t>CHECK</t>
        </is>
      </c>
      <c r="F72" s="7" t="inlineStr"/>
      <c r="G72" s="7" t="inlineStr">
        <is>
          <t>Không còn tăng +15% như lượt trước. Đoạn AI thay chỗ cho phần mô tả diễn biến giá và danh sách hợp đồng, nên trang gần như giữ nguyên độ dài.</t>
        </is>
      </c>
    </row>
    <row r="73">
      <c r="A73" s="6" t="inlineStr"/>
      <c r="B73" s="6" t="inlineStr">
        <is>
          <t>Chi tiết CNTT nước ngoài</t>
        </is>
      </c>
      <c r="C73" s="6" t="inlineStr">
        <is>
          <t>chuyển từ đoạn AI sang đoạn phân khúc</t>
        </is>
      </c>
      <c r="D73" s="6" t="inlineStr"/>
      <c r="E73" s="6" t="inlineStr">
        <is>
          <t>CHECK</t>
        </is>
      </c>
      <c r="F73" s="7" t="inlineStr"/>
      <c r="G73" s="7" t="inlineStr">
        <is>
          <t>+16.7% FY27F, Nhật +22%/+23%, châu Âu +18%/+20%, Mỹ +5.9% nay nằm ở đoạn 2 để đoạn AI chỉ còn phần tranh luận. Không mất số nào.</t>
        </is>
      </c>
    </row>
    <row r="74">
      <c r="A74" s="6" t="inlineStr"/>
      <c r="B74" s="6" t="inlineStr">
        <is>
          <t>Đoạn AI (sửa lần 3)</t>
        </is>
      </c>
      <c r="C74" s="6" t="inlineStr">
        <is>
          <t>EN 23 từ / VN 36 từ</t>
        </is>
      </c>
      <c r="D74" s="6" t="inlineStr"/>
      <c r="E74" s="6" t="inlineStr">
        <is>
          <t>CHECK</t>
        </is>
      </c>
      <c r="F74" s="7" t="inlineStr"/>
      <c r="G74" s="7" t="inlineStr">
        <is>
          <t>Rút 77 từ so với bản 100 từ. Chỉ giữ: bản chất tranh luận (mở rộng nhu cầu hay thu hẹp định giá theo nhân sự) + một cặp số đối chiếu Infosys 1.5-3.0% vs FPT +13.4%.</t>
        </is>
      </c>
    </row>
    <row r="75">
      <c r="A75" s="6" t="inlineStr"/>
      <c r="B75" s="6" t="inlineStr">
        <is>
          <t>Số liệu đã bỏ khỏi trang</t>
        </is>
      </c>
      <c r="C75" s="6" t="inlineStr">
        <is>
          <t>TCS 3.2% và tuyển ròng 9,279; Infosys AI 8.2% doanh thu; 114 nghìn tỷ vốn hóa; rời Top 10; đáy từ 10/2023; bán ròng &gt;16 nghìn tỷ</t>
        </is>
      </c>
      <c r="D75" s="6" t="inlineStr"/>
      <c r="E75" s="6" t="inlineStr">
        <is>
          <t>CHECK</t>
        </is>
      </c>
      <c r="F75" s="7" t="inlineStr"/>
      <c r="G75" s="7" t="inlineStr">
        <is>
          <t>Vẫn lưu ở sheet này để dùng lại nếu cần. Riêng "giảm 40% từ đầu năm do khối ngoại bán ròng mạnh" được giữ lại một mệnh đề trong đoạn định giá vì tiêu đề trang khẳng định "định giá về đáy 2 năm" — nếu bỏ hết thì tiêu đề không còn căn cứ trên trang.</t>
        </is>
      </c>
    </row>
    <row r="76">
      <c r="A76" s="6" t="inlineStr"/>
      <c r="B76" s="6" t="inlineStr">
        <is>
          <t>Tổng độ dài trang FPT</t>
        </is>
      </c>
      <c r="C76" s="6" t="inlineStr">
        <is>
          <t>-15.1% so với bản trước khi mở rộng</t>
        </is>
      </c>
      <c r="D76" s="6" t="inlineStr"/>
      <c r="E76" s="6" t="inlineStr">
        <is>
          <t>CHECK</t>
        </is>
      </c>
      <c r="F76" s="7" t="inlineStr"/>
      <c r="G76" s="7" t="inlineStr">
        <is>
          <t>Trang FPT giờ ngắn hơn cả bản gốc, do đoạn diễn biến giá cũ đã bị thay bằng đoạn AI 23 từ.</t>
        </is>
      </c>
    </row>
    <row r="78">
      <c r="B78" s="5" t="inlineStr">
        <is>
          <t>FPT — NÂNG DỰ PHÓNG NPATMI VÀO DẢI 15-18%</t>
        </is>
      </c>
    </row>
    <row r="79">
      <c r="A79" s="6" t="n">
        <v>1</v>
      </c>
      <c r="B79" s="6" t="inlineStr">
        <is>
          <t>Lộ trình mới</t>
        </is>
      </c>
      <c r="C79" s="6" t="inlineStr">
        <is>
          <t>FY26F +15.6% / FY27F +16.0% / FY28F +16.5%</t>
        </is>
      </c>
      <c r="D79" s="6" t="inlineStr"/>
      <c r="E79" s="6" t="inlineStr">
        <is>
          <t>MAS</t>
        </is>
      </c>
      <c r="F79" s="7" t="inlineStr">
        <is>
          <t>FY26F giữ nguyên 10,943 tỷ (neo theo KQKD 1H26 đã công bố); FY27F 12,692; FY28F 14,787</t>
        </is>
      </c>
      <c r="G79" s="7" t="inlineStr">
        <is>
          <t>Cũ: +15.6% / +14.4% / +13.1% — hai năm sau nằm dưới sàn 15%.</t>
        </is>
      </c>
    </row>
    <row r="80">
      <c r="A80" s="6" t="n">
        <v>2</v>
      </c>
      <c r="B80" s="6" t="inlineStr">
        <is>
          <t>Đòn bẩy được dùng</t>
        </is>
      </c>
      <c r="C80" s="6" t="inlineStr">
        <is>
          <t>SG&amp;A/doanh thu 17.60% -&gt; 17.12% -&gt; 16.45%</t>
        </is>
      </c>
      <c r="D80" s="6" t="inlineStr"/>
      <c r="E80" s="6" t="inlineStr">
        <is>
          <t>MAS</t>
        </is>
      </c>
      <c r="F80" s="7" t="inlineStr">
        <is>
          <t>PL!R19 0.079-&gt;0.0762; PL!S19 0.079-&gt;0.0715; PL!S20 công thức 9.5%-&gt;9.3%</t>
        </is>
      </c>
      <c r="G80" s="7" t="inlineStr">
        <is>
          <t>DOANH THU VÀ BIÊN GỘP GIỮ NGUYÊN. Không đụng tới tăng trưởng mảng, nên các con số +16.7% CNTT nước ngoài FY27F, Mỹ +5.9%, Nhật +22%/+23% trên slide vẫn đúng.</t>
        </is>
      </c>
    </row>
    <row r="81">
      <c r="A81" s="6" t="n">
        <v>3</v>
      </c>
      <c r="B81" s="6" t="inlineStr">
        <is>
          <t>Vì sao không dùng doanh thu</t>
        </is>
      </c>
      <c r="C81" s="6" t="inlineStr">
        <is>
          <t>—</t>
        </is>
      </c>
      <c r="D81" s="6" t="inlineStr"/>
      <c r="E81" s="6" t="inlineStr">
        <is>
          <t>MAS</t>
        </is>
      </c>
      <c r="F81" s="7" t="inlineStr"/>
      <c r="G81" s="7" t="inlineStr">
        <is>
          <t>Nếu giữ nguyên cơ cấu biên thì để đạt NPATMI +16.5% năm FY28 cần doanh thu tăng ~20%, tức CNTT trong nước phải trên 25%/năm — không thuyết phục. Cắt SG&amp;A 115bp trong hai năm là giả định đòn bẩy hoạt động bình thường với doanh nghiệp tăng doanh thu ~16%/năm.</t>
        </is>
      </c>
    </row>
    <row r="82">
      <c r="A82" s="6" t="n">
        <v>4</v>
      </c>
      <c r="B82" s="6" t="inlineStr">
        <is>
          <t>Quan hệ đã kiểm chứng</t>
        </is>
      </c>
      <c r="C82" s="6" t="inlineStr">
        <is>
          <t>NPATMI = LNTT x 0.83733</t>
        </is>
      </c>
      <c r="D82" s="6" t="inlineStr"/>
      <c r="E82" s="6" t="inlineStr">
        <is>
          <t>MODEL</t>
        </is>
      </c>
      <c r="F82" s="7" t="inlineStr">
        <is>
          <t>PL: thuế 15%, MI = (P54/P53)/11 = 1.4906%; kiểm lại FY26 13,069 x 0.83733 = 10,943 khớp tuyệt đối</t>
        </is>
      </c>
      <c r="G82" s="7" t="inlineStr">
        <is>
          <t>Dùng đúng hệ số này để suy LNTT cần thiết cho FY27F/FY28F.</t>
        </is>
      </c>
    </row>
    <row r="83">
      <c r="A83" s="6" t="n">
        <v>5</v>
      </c>
      <c r="B83" s="6" t="inlineStr">
        <is>
          <t>Các dòng đã cascade</t>
        </is>
      </c>
      <c r="C83" s="6" t="inlineStr">
        <is>
          <t>LNHĐ, LNTT, LNST-CĐTS, EPS, ROE, P/E, P/B, tổng tài sản, VCSH, BVPS</t>
        </is>
      </c>
      <c r="D83" s="6" t="inlineStr"/>
      <c r="E83" s="6" t="inlineStr">
        <is>
          <t>MAS</t>
        </is>
      </c>
      <c r="F83" s="7" t="inlineStr"/>
      <c r="G83" s="7" t="inlineStr">
        <is>
          <t>EPS trên 1,810 triệu cp (suy từ bảng cũ); BVPS giữ nguyên cơ sở số cp riêng của dòng đó (1,959/1,926 triệu) vì bảng gốc dùng hai cơ sở khác nhau — đây là điểm chưa nhất quán có sẵn, không phải do lần sửa này.</t>
        </is>
      </c>
    </row>
    <row r="84">
      <c r="A84" s="6" t="n">
        <v>6</v>
      </c>
      <c r="B84" s="6" t="inlineStr">
        <is>
          <t>ROE</t>
        </is>
      </c>
      <c r="C84" s="6" t="inlineStr">
        <is>
          <t>FY27F 27.0% / FY28F 26.4%</t>
        </is>
      </c>
      <c r="D84" s="6" t="inlineStr"/>
      <c r="E84" s="6" t="inlineStr">
        <is>
          <t>MAS</t>
        </is>
      </c>
      <c r="F84" s="7" t="inlineStr"/>
      <c r="G84" s="7" t="inlineStr">
        <is>
          <t>Không tái lập được công thức ROE gốc nên tính theo tỷ lệ: ROE cũ x (LNST mới/cũ) / (VCSH mới/cũ). Cách này không phụ thuộc vào cơ sở tính của bảng gốc.</t>
        </is>
      </c>
    </row>
    <row r="85">
      <c r="A85" s="6" t="n">
        <v>7</v>
      </c>
      <c r="B85" s="6" t="inlineStr">
        <is>
          <t>Giá mục tiêu</t>
        </is>
      </c>
      <c r="C85" s="6" t="inlineStr">
        <is>
          <t>giữ 78,750 đồng</t>
        </is>
      </c>
      <c r="D85" s="6" t="inlineStr"/>
      <c r="E85" s="6" t="inlineStr">
        <is>
          <t>MAS</t>
        </is>
      </c>
      <c r="F85" s="7" t="inlineStr"/>
      <c r="G85" s="7" t="inlineStr">
        <is>
          <t>Dự phóng cao hơn nhưng KHÔNG nâng giá mục tiêu: mức 78,750 do quản lý ấn định (+25% trên ~63,000) và phần bù rủi ro AI cao hơn bù lại phần lợi nhuận tăng. Nếu anh muốn chạy lại DCF thì giá mục tiêu sẽ cao hơn.</t>
        </is>
      </c>
    </row>
    <row r="86">
      <c r="A86" s="6" t="n">
        <v>8</v>
      </c>
      <c r="B86" s="6" t="inlineStr">
        <is>
          <t>CẢNH BÁO — chưa recalc được</t>
        </is>
      </c>
      <c r="C86" s="6" t="inlineStr">
        <is>
          <t>file model chưa được Excel tính lại</t>
        </is>
      </c>
      <c r="D86" s="6" t="inlineStr"/>
      <c r="E86" s="6" t="inlineStr">
        <is>
          <t>GAP</t>
        </is>
      </c>
      <c r="F86" s="7" t="inlineStr"/>
      <c r="G86" s="7" t="inlineStr">
        <is>
          <t>LibreOffice trong môi trường này không mở được file Office nên em chỉ ghi input mới vào PL!R19/S19/S20 và bật fullCalcOnLoad. ANH MỞ FILE MỘT LẦN TRONG EXCEL để toàn bộ mô hình tính lại, rồi đối chiếu PL!R55/S55 với 12,692 và 14,787. Số trên slide em tính bằng bản sao chuỗi P&amp;L trong Python, đã kiểm khớp tuyệt đối ở cột FY26.</t>
        </is>
      </c>
    </row>
    <row r="87">
      <c r="A87" s="6" t="n">
        <v>9</v>
      </c>
      <c r="B87" s="6" t="inlineStr">
        <is>
          <t>Sai số còn lại</t>
        </is>
      </c>
      <c r="C87" s="6" t="inlineStr">
        <is>
          <t>~0.16% ở dòng doanh thu</t>
        </is>
      </c>
      <c r="D87" s="6" t="inlineStr"/>
      <c r="E87" s="6" t="inlineStr">
        <is>
          <t>GAP</t>
        </is>
      </c>
      <c r="F87" s="7" t="inlineStr"/>
      <c r="G87" s="7" t="inlineStr">
        <is>
          <t>Bảng FY ghi doanh thu FY26F 57,284 tỷ trong khi cache của model là 57,195 tỷ. Chênh 0.16% có từ trước. Nếu sau khi recalc model ra số khác thì lấy model làm chuẩn.</t>
        </is>
      </c>
    </row>
    <row r="89">
      <c r="B89" s="5" t="inlineStr">
        <is>
          <t>FPT — DỰNG LẠI DỰ PHÓNG TRÊN BCTC FPT TELECOM (BẰNG CHỨNG, KHÔNG CÒN LÀ SỐ CHÈN)</t>
        </is>
      </c>
    </row>
    <row r="90">
      <c r="A90" s="6" t="n">
        <v>1</v>
      </c>
      <c r="B90" s="6" t="inlineStr">
        <is>
          <t>FOX — LNST-CĐTS 1H26</t>
        </is>
      </c>
      <c r="C90" s="6" t="inlineStr">
        <is>
          <t>1,877.2 (+13.9% CK)</t>
        </is>
      </c>
      <c r="D90" s="6" t="inlineStr">
        <is>
          <t>VNDbn</t>
        </is>
      </c>
      <c r="E90" s="6" t="inlineStr">
        <is>
          <t>COMPANY (BCTC HN Q2/2026, ký 23/07/26)</t>
        </is>
      </c>
    </row>
    <row r="91">
      <c r="A91" s="6" t="n">
        <v>2</v>
      </c>
      <c r="B91" s="6" t="inlineStr">
        <is>
          <t>FOX — LNTT 1H26</t>
        </is>
      </c>
      <c r="C91" s="6" t="inlineStr">
        <is>
          <t>2,392.5 (+14.1% CK)</t>
        </is>
      </c>
      <c r="D91" s="6" t="inlineStr">
        <is>
          <t>VNDbn</t>
        </is>
      </c>
      <c r="E91" s="6" t="inlineStr">
        <is>
          <t>COMPANY</t>
        </is>
      </c>
    </row>
    <row r="92">
      <c r="A92" s="6" t="n">
        <v>3</v>
      </c>
      <c r="B92" s="6" t="inlineStr">
        <is>
          <t>FOX — doanh thu thuần 1H26</t>
        </is>
      </c>
      <c r="C92" s="6" t="inlineStr">
        <is>
          <t>10,774.1 (+15.1% CK)</t>
        </is>
      </c>
      <c r="D92" s="6" t="inlineStr">
        <is>
          <t>VNDbn</t>
        </is>
      </c>
      <c r="E92" s="6" t="inlineStr">
        <is>
          <t>COMPANY</t>
        </is>
      </c>
    </row>
    <row r="93">
      <c r="A93" s="6" t="n">
        <v>4</v>
      </c>
      <c r="B93" s="6" t="inlineStr">
        <is>
          <t>FOX — LNST-CĐTS 2Q26</t>
        </is>
      </c>
      <c r="C93" s="6" t="inlineStr">
        <is>
          <t>991.1 (+12.1% CK)</t>
        </is>
      </c>
      <c r="D93" s="6" t="inlineStr">
        <is>
          <t>VNDbn</t>
        </is>
      </c>
      <c r="E93" s="6" t="inlineStr">
        <is>
          <t>COMPANY</t>
        </is>
      </c>
    </row>
    <row r="94">
      <c r="A94" s="6" t="n">
        <v>5</v>
      </c>
      <c r="B94" s="6" t="inlineStr">
        <is>
          <t>Tỷ lệ sở hữu FPT tại FOX</t>
        </is>
      </c>
      <c r="C94" s="6" t="inlineStr">
        <is>
          <t>45.66</t>
        </is>
      </c>
      <c r="D94" s="6" t="inlineStr">
        <is>
          <t>%</t>
        </is>
      </c>
      <c r="E94" s="6" t="inlineStr">
        <is>
          <t>COMPANY/PRESS</t>
        </is>
      </c>
    </row>
    <row r="95">
      <c r="A95" s="6" t="n">
        <v>6</v>
      </c>
      <c r="B95" s="6" t="inlineStr">
        <is>
          <t>Phần của FPT trong 1H26</t>
        </is>
      </c>
      <c r="C95" s="6" t="inlineStr">
        <is>
          <t>857 = 1,877.2 x 45.66%</t>
        </is>
      </c>
      <c r="D95" s="6" t="inlineStr">
        <is>
          <t>VNDbn</t>
        </is>
      </c>
      <c r="E95" s="6" t="inlineStr">
        <is>
          <t>DERIVED</t>
        </is>
      </c>
    </row>
    <row r="96">
      <c r="A96" s="6" t="n">
        <v>7</v>
      </c>
      <c r="B96" s="6" t="inlineStr">
        <is>
          <t>Cả năm theo run-rate / theo mùa vụ 2H25</t>
        </is>
      </c>
      <c r="C96" s="6" t="inlineStr">
        <is>
          <t>1,714 / 1,774</t>
        </is>
      </c>
      <c r="D96" s="6" t="inlineStr">
        <is>
          <t>VNDbn</t>
        </is>
      </c>
      <c r="E96" s="6" t="inlineStr">
        <is>
          <t>DERIVED</t>
        </is>
      </c>
    </row>
    <row r="97">
      <c r="B97" s="5" t="inlineStr">
        <is>
          <t>FPT — SỐ CÔNG BỐ 1H26 (nền của dự phóng)</t>
        </is>
      </c>
    </row>
    <row r="98">
      <c r="A98" s="6" t="n">
        <v>8</v>
      </c>
      <c r="B98" s="6" t="inlineStr">
        <is>
          <t>LNTT 1H26</t>
        </is>
      </c>
      <c r="C98" s="6" t="inlineStr">
        <is>
          <t>5,714 (+18.1% CK)</t>
        </is>
      </c>
      <c r="D98" s="6" t="inlineStr">
        <is>
          <t>VNDbn</t>
        </is>
      </c>
      <c r="E98" s="6" t="inlineStr">
        <is>
          <t>PRESS (CafeF 16/07/26)</t>
        </is>
      </c>
    </row>
    <row r="99">
      <c r="A99" s="6" t="n">
        <v>9</v>
      </c>
      <c r="B99" s="6" t="inlineStr">
        <is>
          <t>LNST-CĐTS 1Q26</t>
        </is>
      </c>
      <c r="C99" s="6" t="inlineStr">
        <is>
          <t>2,487 (+14.4% CK)</t>
        </is>
      </c>
      <c r="D99" s="6" t="inlineStr">
        <is>
          <t>VNDbn</t>
        </is>
      </c>
      <c r="E99" s="6" t="inlineStr">
        <is>
          <t>PRESS (VnEconomy 22/04/26)</t>
        </is>
      </c>
    </row>
    <row r="100">
      <c r="A100" s="6" t="n">
        <v>10</v>
      </c>
      <c r="B100" s="6" t="inlineStr">
        <is>
          <t>LNST-CĐTS 2Q26</t>
        </is>
      </c>
      <c r="C100" s="6" t="inlineStr">
        <is>
          <t>2,568 (+14.0% CK)</t>
        </is>
      </c>
      <c r="D100" s="6" t="inlineStr">
        <is>
          <t>VNDbn</t>
        </is>
      </c>
      <c r="E100" s="6" t="inlineStr">
        <is>
          <t>PRESS (CafeF 16/07/26)</t>
        </is>
      </c>
    </row>
    <row r="101">
      <c r="A101" s="6" t="n">
        <v>11</v>
      </c>
      <c r="B101" s="6" t="inlineStr">
        <is>
          <t>LNST-CĐTS 1H26</t>
        </is>
      </c>
      <c r="C101" s="6" t="inlineStr">
        <is>
          <t>5,055 (+14.2% CK)</t>
        </is>
      </c>
      <c r="D101" s="6" t="inlineStr">
        <is>
          <t>VNDbn</t>
        </is>
      </c>
      <c r="E101" s="6" t="inlineStr">
        <is>
          <t>DERIVED</t>
        </is>
      </c>
    </row>
    <row r="102">
      <c r="A102" s="6" t="n">
        <v>12</v>
      </c>
      <c r="B102" s="6" t="inlineStr">
        <is>
          <t>CHÊNH LỆCH LNTT vs LNST-CĐTS</t>
        </is>
      </c>
      <c r="C102" s="6" t="inlineStr">
        <is>
          <t>+18.1% vs +14.2% — cả 2 quý đều xác nhận</t>
        </is>
      </c>
      <c r="D102" s="6" t="n"/>
      <c r="E102" s="6" t="inlineStr">
        <is>
          <t>CHECK</t>
        </is>
      </c>
    </row>
    <row r="103">
      <c r="A103" s="6" t="n">
        <v>13</v>
      </c>
      <c r="B103" s="6" t="inlineStr">
        <is>
          <t>Nguyên nhân</t>
        </is>
      </c>
      <c r="C103" s="6" t="inlineStr">
        <is>
          <t>LN từ cty liên kết đã chịu thuế tại FOX, nên LNTT phóng đại phần thuộc cổ đông</t>
        </is>
      </c>
      <c r="D103" s="6" t="n"/>
      <c r="E103" s="6" t="inlineStr">
        <is>
          <t>DERIVED</t>
        </is>
      </c>
    </row>
    <row r="104">
      <c r="B104" s="5" t="inlineStr">
        <is>
          <t>GIẢ ĐỊNH ĐÃ SỬA TRONG MODEL</t>
        </is>
      </c>
    </row>
    <row r="105">
      <c r="A105" s="6" t="n">
        <v>14</v>
      </c>
      <c r="B105" s="6" t="inlineStr">
        <is>
          <t>Thuế — công thức cũ</t>
        </is>
      </c>
      <c r="C105" s="6" t="inlineStr">
        <is>
          <t>PL!Q50 = Q47*15% (đánh thuế cả phần liên kết — SAI)</t>
        </is>
      </c>
      <c r="D105" s="6" t="n"/>
      <c r="E105" s="6" t="inlineStr">
        <is>
          <t>MODEL</t>
        </is>
      </c>
    </row>
    <row r="106">
      <c r="A106" s="6" t="n">
        <v>15</v>
      </c>
      <c r="B106" s="6" t="inlineStr">
        <is>
          <t>Thuế — công thức mới</t>
        </is>
      </c>
      <c r="C106" s="6" t="inlineStr">
        <is>
          <t>PL!Q50:S50 = (Q47-Q45)*12%</t>
        </is>
      </c>
      <c r="D106" s="6" t="n"/>
      <c r="E106" s="6" t="inlineStr">
        <is>
          <t>MAS</t>
        </is>
      </c>
    </row>
    <row r="107">
      <c r="A107" s="6" t="n">
        <v>16</v>
      </c>
      <c r="B107" s="6" t="inlineStr">
        <is>
          <t>Thuế suất 12.0% — nguồn</t>
        </is>
      </c>
      <c r="C107" s="6" t="inlineStr">
        <is>
          <t>583/(5,714-857) từ chính số công bố 1H26</t>
        </is>
      </c>
      <c r="D107" s="6" t="inlineStr">
        <is>
          <t>%</t>
        </is>
      </c>
      <c r="E107" s="6" t="inlineStr">
        <is>
          <t>DERIVED</t>
        </is>
      </c>
    </row>
    <row r="108">
      <c r="A108" s="6" t="n">
        <v>17</v>
      </c>
      <c r="B108" s="6" t="inlineStr">
        <is>
          <t>Dòng liên kết — cũ</t>
        </is>
      </c>
      <c r="C108" s="6" t="inlineStr">
        <is>
          <t>Scenarios!H45:J45 = 4.5525/4.5408/4.4994% doanh thu (≈2,608 FY26F)</t>
        </is>
      </c>
      <c r="D108" s="6" t="n"/>
      <c r="E108" s="6" t="inlineStr">
        <is>
          <t>MODEL</t>
        </is>
      </c>
    </row>
    <row r="109">
      <c r="A109" s="6" t="n">
        <v>18</v>
      </c>
      <c r="B109" s="6" t="inlineStr">
        <is>
          <t>Dòng liên kết — mới</t>
        </is>
      </c>
      <c r="C109" s="6" t="inlineStr">
        <is>
          <t>Scenarios!H45:J45 = 3.2346/3.1981/3.1413% (1,850 / 2,109 / 2,404)</t>
        </is>
      </c>
      <c r="D109" s="6" t="n"/>
      <c r="E109" s="6" t="inlineStr">
        <is>
          <t>MAS</t>
        </is>
      </c>
    </row>
    <row r="110">
      <c r="A110" s="6" t="n">
        <v>19</v>
      </c>
      <c r="B110" s="6" t="inlineStr">
        <is>
          <t>Cách xác định</t>
        </is>
      </c>
      <c r="C110" s="6" t="inlineStr">
        <is>
          <t>FOX 1H26 x 45.66% x cả năm, tăng ~14%/năm theo chính đà của FOX</t>
        </is>
      </c>
      <c r="D110" s="6" t="n"/>
      <c r="E110" s="6" t="inlineStr">
        <is>
          <t>DERIVED</t>
        </is>
      </c>
    </row>
    <row r="111">
      <c r="A111" s="6" t="n">
        <v>20</v>
      </c>
      <c r="B111" s="6" t="inlineStr">
        <is>
          <t>Phần "cty liên kết khác"</t>
        </is>
      </c>
      <c r="C111" s="6" t="inlineStr">
        <is>
          <t>~74 (1,850 - 1,776) — nhỏ, là ẩn số duy nhất còn lại</t>
        </is>
      </c>
      <c r="D111" s="6" t="inlineStr">
        <is>
          <t>VNDbn</t>
        </is>
      </c>
      <c r="E111" s="6" t="inlineStr">
        <is>
          <t>GAP</t>
        </is>
      </c>
    </row>
    <row r="112">
      <c r="B112" s="5" t="inlineStr">
        <is>
          <t>DỰ PHÓNG MỚI</t>
        </is>
      </c>
    </row>
    <row r="113">
      <c r="A113" s="6" t="n">
        <v>21</v>
      </c>
      <c r="B113" s="6" t="inlineStr">
        <is>
          <t>Quyết định của analyst</t>
        </is>
      </c>
      <c r="C113" s="6" t="inlineStr">
        <is>
          <t>2H26 LNST-CĐTS +15% CK (1H26 thực tế +14.2%)</t>
        </is>
      </c>
      <c r="D113" s="6" t="n"/>
      <c r="E113" s="6" t="inlineStr">
        <is>
          <t>MAS</t>
        </is>
      </c>
    </row>
    <row r="114">
      <c r="A114" s="6" t="n">
        <v>22</v>
      </c>
      <c r="B114" s="6" t="inlineStr">
        <is>
          <t>FY26F</t>
        </is>
      </c>
      <c r="C114" s="6" t="inlineStr">
        <is>
          <t>10,848 (+14.6%) = 5,055 + 5,037 x 1.15</t>
        </is>
      </c>
      <c r="D114" s="6" t="inlineStr">
        <is>
          <t>VNDbn</t>
        </is>
      </c>
      <c r="E114" s="6" t="inlineStr">
        <is>
          <t>DERIVED</t>
        </is>
      </c>
    </row>
    <row r="115">
      <c r="A115" s="6" t="n">
        <v>23</v>
      </c>
      <c r="B115" s="6" t="inlineStr">
        <is>
          <t>FY27F</t>
        </is>
      </c>
      <c r="C115" s="6" t="inlineStr">
        <is>
          <t>12,549 (+15.7%)</t>
        </is>
      </c>
      <c r="D115" s="6" t="inlineStr">
        <is>
          <t>VNDbn</t>
        </is>
      </c>
      <c r="E115" s="6" t="inlineStr">
        <is>
          <t>MAS</t>
        </is>
      </c>
    </row>
    <row r="116">
      <c r="A116" s="6" t="n">
        <v>24</v>
      </c>
      <c r="B116" s="6" t="inlineStr">
        <is>
          <t>FY28F</t>
        </is>
      </c>
      <c r="C116" s="6" t="inlineStr">
        <is>
          <t>14,608 (+16.4%)</t>
        </is>
      </c>
      <c r="D116" s="6" t="inlineStr">
        <is>
          <t>VNDbn</t>
        </is>
      </c>
      <c r="E116" s="6" t="inlineStr">
        <is>
          <t>MAS</t>
        </is>
      </c>
    </row>
    <row r="117">
      <c r="A117" s="6" t="n">
        <v>25</v>
      </c>
      <c r="B117" s="6" t="inlineStr">
        <is>
          <t>Đối chiếu độc lập</t>
        </is>
      </c>
      <c r="C117" s="6" t="inlineStr">
        <is>
          <t>dựng từ dưới lên (chỉ FOX, không cty liên kết khác) ra 10,776 (+13.9%) — lệch 0.7%</t>
        </is>
      </c>
      <c r="D117" s="6" t="n"/>
      <c r="E117" s="6" t="inlineStr">
        <is>
          <t>CHECK</t>
        </is>
      </c>
    </row>
    <row r="118">
      <c r="A118" s="6" t="n">
        <v>26</v>
      </c>
      <c r="B118" s="6" t="inlineStr">
        <is>
          <t>Đòn bẩy SG&amp;A</t>
        </is>
      </c>
      <c r="C118" s="6" t="inlineStr">
        <is>
          <t>giữ nguyên: 17.6% -&gt; 17.1% -&gt; 16.5% doanh thu</t>
        </is>
      </c>
      <c r="D118" s="6" t="n"/>
      <c r="E118" s="6" t="inlineStr">
        <is>
          <t>MAS</t>
        </is>
      </c>
    </row>
    <row r="119">
      <c r="A119" s="6" t="n">
        <v>27</v>
      </c>
      <c r="B119" s="6" t="inlineStr">
        <is>
          <t>Giá mục tiêu</t>
        </is>
      </c>
      <c r="C119" s="6" t="inlineStr">
        <is>
          <t>giữ 78,750 đồng (DCF); LNTT/LNST-CĐTS giảm &lt;1.2% nên chưa chạy lại DCF</t>
        </is>
      </c>
      <c r="D119" s="6" t="n"/>
      <c r="E119" s="6" t="inlineStr">
        <is>
          <t>GAP</t>
        </is>
      </c>
    </row>
    <row r="120">
      <c r="A120" s="6" t="n">
        <v>28</v>
      </c>
      <c r="B120" s="6" t="inlineStr">
        <is>
          <t>Các dòng đã cascade</t>
        </is>
      </c>
      <c r="C120" s="6" t="inlineStr">
        <is>
          <t>LNTT, LNST-CĐTS, EPS, P/E trên cả 2 trang EN/VN + bảng Stock Pick + sheet TP</t>
        </is>
      </c>
      <c r="D120" s="6" t="n"/>
      <c r="E120" s="6" t="inlineStr">
        <is>
          <t>MAS</t>
        </is>
      </c>
    </row>
    <row r="121">
      <c r="A121" s="6" t="n">
        <v>29</v>
      </c>
      <c r="B121" s="6" t="inlineStr">
        <is>
          <t>Kiểm tra tự động</t>
        </is>
      </c>
      <c r="C121" s="6" t="inlineStr">
        <is>
          <t>42/42 đạt (check_fpt.py): EN=VN, LNTT-&gt;LNST-CĐTS, EPS, P/E, model vs slide</t>
        </is>
      </c>
      <c r="D121" s="6" t="n"/>
      <c r="E121" s="6" t="inlineStr">
        <is>
          <t>CHECK</t>
        </is>
      </c>
    </row>
    <row r="122">
      <c r="B122" s="5" t="inlineStr">
        <is>
          <t>CÒN TỒN SAU BẢN NÀY</t>
        </is>
      </c>
    </row>
    <row r="123">
      <c r="A123" s="6" t="n">
        <v>30</v>
      </c>
      <c r="B123" s="6" t="inlineStr">
        <is>
          <t>G9 Thuế suất 12.0%</t>
        </is>
      </c>
      <c r="C123" s="6" t="inlineStr">
        <is>
          <t>mới có 1 nửa năm; ưu đãi khu CNTT có thể hết hạn -&gt; FY27-28F có thể cao hơn</t>
        </is>
      </c>
      <c r="D123" s="6" t="n"/>
      <c r="E123" s="6" t="inlineStr">
        <is>
          <t>GAP</t>
        </is>
      </c>
    </row>
    <row r="124">
      <c r="A124" s="6" t="n">
        <v>31</v>
      </c>
      <c r="B124" s="6" t="inlineStr">
        <is>
          <t>G10 P/B, VCSH, tổng tài sản, ROE</t>
        </is>
      </c>
      <c r="C124" s="6" t="inlineStr">
        <is>
          <t>chưa chỉnh theo LNST-CĐTS thấp hơn (~0.4%, dưới mức hiển thị)</t>
        </is>
      </c>
      <c r="D124" s="6" t="n"/>
      <c r="E124" s="6" t="inlineStr">
        <is>
          <t>GAP</t>
        </is>
      </c>
    </row>
    <row r="125">
      <c r="A125" s="6" t="n">
        <v>32</v>
      </c>
      <c r="B125" s="6" t="inlineStr">
        <is>
          <t>G11 LNTT FY25 công bố lại</t>
        </is>
      </c>
      <c r="C125" s="6" t="inlineStr">
        <is>
          <t>vẫn chưa có số chính thức — mọi so sánh LNTT theo năm còn treo</t>
        </is>
      </c>
      <c r="D125" s="6" t="n"/>
      <c r="E125" s="6" t="inlineStr">
        <is>
          <t>GAP</t>
        </is>
      </c>
    </row>
    <row r="126">
      <c r="A126" s="6" t="n">
        <v>33</v>
      </c>
      <c r="B126" s="6" t="inlineStr">
        <is>
          <t>G12 Doanh thu trên slide vs model</t>
        </is>
      </c>
      <c r="C126" s="6" t="inlineStr">
        <is>
          <t>57,284 vs 57,195 (0.16%) — lệch cũ, chưa đồng bộ</t>
        </is>
      </c>
      <c r="D126" s="6" t="n"/>
      <c r="E126" s="6" t="inlineStr">
        <is>
          <t>GAP</t>
        </is>
      </c>
    </row>
    <row r="127">
      <c r="A127" s="6" t="n">
        <v>34</v>
      </c>
      <c r="B127" s="6" t="inlineStr">
        <is>
          <t>G13 Model chưa recalc</t>
        </is>
      </c>
      <c r="C127" s="6" t="inlineStr">
        <is>
          <t>Excel chưa mở lại; Scenarios!H43 còn cache 5.0%</t>
        </is>
      </c>
      <c r="D127" s="6" t="n"/>
      <c r="E127" s="6" t="inlineStr">
        <is>
          <t>GAP</t>
        </is>
      </c>
    </row>
    <row r="128">
      <c r="A128" s="6" t="n">
        <v>35</v>
      </c>
      <c r="B128" s="6" t="inlineStr">
        <is>
          <t>G8 Không QA được bố cục</t>
        </is>
      </c>
      <c r="C128" s="6" t="inlineStr">
        <is>
          <t>LibreOffice không mở được file Office trong môi trường này</t>
        </is>
      </c>
      <c r="D128" s="6" t="n"/>
      <c r="E128" s="6" t="inlineStr">
        <is>
          <t>GAP</t>
        </is>
      </c>
    </row>
    <row r="130">
      <c r="B130" s="13" t="inlineStr">
        <is>
          <t>STB — REVISION 04/08/2026: giữ bao phủ 50% -&gt; NPL 5.5%; CIR về 38-40%</t>
        </is>
      </c>
    </row>
    <row r="131">
      <c r="A131" t="inlineStr">
        <is>
          <t>R1</t>
        </is>
      </c>
      <c r="B131" t="inlineStr">
        <is>
          <t>Dự phòng đã trích cuối Q2/2026</t>
        </is>
      </c>
      <c r="C131" t="inlineStr">
        <is>
          <t>27,177</t>
        </is>
      </c>
      <c r="D131" t="inlineStr">
        <is>
          <t>VNDbn</t>
        </is>
      </c>
      <c r="E131" t="inlineStr">
        <is>
          <t>MODEL</t>
        </is>
      </c>
      <c r="F131" t="inlineStr">
        <is>
          <t>FinModel_STB_2Q26 Model!CA cột quý 2Q26; FY25 20,056 + 7,119 trích 1H26</t>
        </is>
      </c>
      <c r="G131" t="inlineStr">
        <is>
          <t>Bao phủ 56.7% (27,177/47,957), tăng từ 50.0% cuối 2025 — gần như chưa xóa nợ trong 1H26</t>
        </is>
      </c>
    </row>
    <row r="132">
      <c r="A132" t="inlineStr">
        <is>
          <t>R2</t>
        </is>
      </c>
      <c r="B132" t="inlineStr">
        <is>
          <t>Xóa nợ FY26F</t>
        </is>
      </c>
      <c r="C132" t="inlineStr">
        <is>
          <t>11796</t>
        </is>
      </c>
      <c r="D132" t="inlineStr">
        <is>
          <t>VNDbn</t>
        </is>
      </c>
      <c r="E132" t="inlineStr">
        <is>
          <t>DERIVED</t>
        </is>
      </c>
      <c r="F132" t="inlineStr">
        <is>
          <t>Model!Y287 = -1.71% x dư nợ 689,832 (trước: -0.95%)</t>
        </is>
      </c>
      <c r="G132" t="inlineStr">
        <is>
          <t>Nghiệm của bài toán giữ bao phủ 50%; tương đương 37% dư nợ nhóm 5 (~32,000)</t>
        </is>
      </c>
    </row>
    <row r="133">
      <c r="A133" t="inlineStr">
        <is>
          <t>R3</t>
        </is>
      </c>
      <c r="B133" t="inlineStr">
        <is>
          <t>Tỷ lệ trích/xóa FY26F</t>
        </is>
      </c>
      <c r="C133" t="inlineStr">
        <is>
          <t>0.85x</t>
        </is>
      </c>
      <c r="D133" t="inlineStr">
        <is>
          <t>x</t>
        </is>
      </c>
      <c r="E133" t="inlineStr">
        <is>
          <t>MAS</t>
        </is>
      </c>
      <c r="F133" t="inlineStr">
        <is>
          <t>Model!Y278 = -Y279*0.85 (trước: *1.5)</t>
        </is>
      </c>
      <c r="G133" t="inlineStr">
        <is>
          <t>Xử lý nợ tài trợ từ nguồn dự phòng đã trích, không từ P&amp;L. Giữ 1.5x trên mức xóa nợ này là nguyên nhân làm LNTT sụt 64% mà CV đã bác</t>
        </is>
      </c>
    </row>
    <row r="134">
      <c r="A134" t="inlineStr">
        <is>
          <t>R4</t>
        </is>
      </c>
      <c r="B134" t="inlineStr">
        <is>
          <t>Dự phòng đã trích cuối FY26F / bao phủ</t>
        </is>
      </c>
      <c r="C134" t="inlineStr">
        <is>
          <t>18973 / 50.0%</t>
        </is>
      </c>
      <c r="D134" t="inlineStr">
        <is>
          <t>VNDbn / %</t>
        </is>
      </c>
      <c r="E134" t="inlineStr">
        <is>
          <t>DERIVED</t>
        </is>
      </c>
      <c r="F134" t="inlineStr">
        <is>
          <t>gen 4,665 + spec 14,309; NPL 5.5% x 689,832 = 37,941</t>
        </is>
      </c>
      <c r="G134" t="inlineStr">
        <is>
          <t>Đúng mục tiêu "giữ bao phủ 50%" của CV</t>
        </is>
      </c>
    </row>
    <row r="135">
      <c r="A135" t="inlineStr">
        <is>
          <t>R5</t>
        </is>
      </c>
      <c r="B135" t="inlineStr">
        <is>
          <t>NPL FY26F / FY27F / FY28F</t>
        </is>
      </c>
      <c r="C135" t="inlineStr">
        <is>
          <t>5.5 / 4.0 / 2.7</t>
        </is>
      </c>
      <c r="D135" t="inlineStr">
        <is>
          <t>%</t>
        </is>
      </c>
      <c r="E135" t="inlineStr">
        <is>
          <t>MAS</t>
        </is>
      </c>
      <c r="F135" t="inlineStr">
        <is>
          <t>NPL!N26=0.933 N27=0.012 N28=0.009 N29=0.012 N30=0.034 (tổng 1.000)</t>
        </is>
      </c>
      <c r="G135" t="inlineStr">
        <is>
          <t>Hàm ý nợ xấu phát sinh mới 2H26 = 1,780 tỷ, bằng 23% nhịp 1H26 (7,800) — khớp giả định "chậm lại còn 20% nhịp 1H" CV đưa ra trước đó</t>
        </is>
      </c>
    </row>
    <row r="136">
      <c r="A136" t="inlineStr">
        <is>
          <t>R6</t>
        </is>
      </c>
      <c r="B136" t="inlineStr">
        <is>
          <t>CIR FY26F / FY27F / FY28F</t>
        </is>
      </c>
      <c r="C136" t="inlineStr">
        <is>
          <t>39.9 / 39.9 / 38.1</t>
        </is>
      </c>
      <c r="D136" t="inlineStr">
        <is>
          <t>%</t>
        </is>
      </c>
      <c r="E136" t="inlineStr">
        <is>
          <t>MAS</t>
        </is>
      </c>
      <c r="F136" t="inlineStr">
        <is>
          <t>Model!Y132=X132*1 (lương đi ngang), Y134=X134*0.99, Z132=Y132*1.08, AA132=Z132*1.1, AA134=Z134*1.15</t>
        </is>
      </c>
      <c r="G136" t="inlineStr">
        <is>
          <t>CIR 1H26 thực tế 35.6% (opex 6,233 / TOI 17,488). Build cũ cho 42.9% FY26F, tức opex 2H26 phải tăng 26.7% so với 1H26 — không có cơ sở</t>
        </is>
      </c>
    </row>
    <row r="137">
      <c r="A137" t="inlineStr">
        <is>
          <t>R7</t>
        </is>
      </c>
      <c r="B137" t="inlineStr">
        <is>
          <t>Opex 2H26 hàm ý</t>
        </is>
      </c>
      <c r="C137" t="inlineStr">
        <is>
          <t>6916</t>
        </is>
      </c>
      <c r="D137" t="inlineStr">
        <is>
          <t>VNDbn</t>
        </is>
      </c>
      <c r="E137" t="inlineStr">
        <is>
          <t>DERIVED</t>
        </is>
      </c>
      <c r="F137" t="inlineStr">
        <is>
          <t>FY26F 13149 - 1H26 thực tế 6,233</t>
        </is>
      </c>
      <c r="G137" t="inlineStr">
        <is>
          <t>+10.9% so với 1H26 — vẫn phản ánh tính mùa vụ dồn về cuối năm, không phải cắt giảm chi phí</t>
        </is>
      </c>
    </row>
    <row r="138">
      <c r="A138" t="inlineStr">
        <is>
          <t>R8</t>
        </is>
      </c>
      <c r="B138" t="inlineStr">
        <is>
          <t>LNTT / LNST FY26F</t>
        </is>
      </c>
      <c r="C138" t="inlineStr">
        <is>
          <t>8716 / 6786</t>
        </is>
      </c>
      <c r="D138" t="inlineStr">
        <is>
          <t>VNDbn</t>
        </is>
      </c>
      <c r="E138" t="inlineStr">
        <is>
          <t>DERIVED</t>
        </is>
      </c>
      <c r="F138" t="inlineStr">
        <is>
          <t>TOI 32,956 - opex 13149 - dự phòng 11091</t>
        </is>
      </c>
      <c r="G138" t="inlineStr">
        <is>
          <t>+14.3% CK. Hàm ý LNTT 2H26 4,580 tỷ = 15x nền 2H25 (297 tỷ) và +10.7% so với 1H26</t>
        </is>
      </c>
    </row>
    <row r="139">
      <c r="A139" t="inlineStr">
        <is>
          <t>R9</t>
        </is>
      </c>
      <c r="B139" t="inlineStr">
        <is>
          <t>Dự phòng P&amp;L FY26F</t>
        </is>
      </c>
      <c r="C139" t="inlineStr">
        <is>
          <t>11091</t>
        </is>
      </c>
      <c r="D139" t="inlineStr">
        <is>
          <t>VNDbn</t>
        </is>
      </c>
      <c r="E139" t="inlineStr">
        <is>
          <t>DERIVED</t>
        </is>
      </c>
      <c r="F139" t="inlineStr">
        <is>
          <t>chung 687 + cụ thể 10,027 + VAMC 377</t>
        </is>
      </c>
      <c r="G139" t="inlineStr">
        <is>
          <t>-2.6% CK so với 11,384 của FY25; gần như không đổi so với 10,889 của bản trước</t>
        </is>
      </c>
    </row>
    <row r="140">
      <c r="A140" t="inlineStr">
        <is>
          <t>C1</t>
        </is>
      </c>
      <c r="B140" t="inlineStr">
        <is>
          <t>Model!X284 dự phòng cụ thể đầu kỳ</t>
        </is>
      </c>
      <c r="C140" t="inlineStr">
        <is>
          <t>4,891 -&gt; 16,078</t>
        </is>
      </c>
      <c r="D140" t="inlineStr">
        <is>
          <t>VNDbn</t>
        </is>
      </c>
      <c r="E140" t="inlineStr">
        <is>
          <t>CONFLICT</t>
        </is>
      </c>
      <c r="F140" t="inlineStr">
        <is>
          <t>Model!X264 (BCĐKT FY25) = 20,056 nhưng bảng chuyển động X274+X284 chỉ 8,869</t>
        </is>
      </c>
      <c r="G140" t="inlineStr">
        <is>
          <t>Lỗi có sẵn trong model: mọi tỷ lệ bao phủ dự phóng trước đây đều vô nghĩa. Đã sửa để X274+X284 = 20,056</t>
        </is>
      </c>
    </row>
    <row r="141">
      <c r="A141" t="inlineStr">
        <is>
          <t>G14</t>
        </is>
      </c>
      <c r="B141" t="inlineStr">
        <is>
          <t>Cân đối kế toán lệch sau khi sửa X284</t>
        </is>
      </c>
      <c r="C141" t="inlineStr">
        <is>
          <t>-6,755</t>
        </is>
      </c>
      <c r="D141" t="inlineStr">
        <is>
          <t>VNDbn</t>
        </is>
      </c>
      <c r="E141" t="inlineStr">
        <is>
          <t>GAP</t>
        </is>
      </c>
      <c r="F141" t="inlineStr">
        <is>
          <t>Model!Y103 = Y61 - Y102; dự phòng tăng làm cho vay thuần giảm 6,146, VCSH tăng 609</t>
        </is>
      </c>
      <c r="G141" t="inlineStr">
        <is>
          <t>CHƯA XỬ LÝ — cần chốt khoản mục bù (huy động hoặc tiền gửi liên ngân hàng) trước khi phát hành. Tổng tài sản trên slide = số đã công bố trừ 6,146</t>
        </is>
      </c>
    </row>
    <row r="142">
      <c r="A142" t="inlineStr">
        <is>
          <t>G15</t>
        </is>
      </c>
      <c r="B142" t="inlineStr">
        <is>
          <t>Giá mục tiêu vs sheet Valuation</t>
        </is>
      </c>
      <c r="C142" t="inlineStr">
        <is>
          <t>77,800 vs 61,400</t>
        </is>
      </c>
      <c r="D142" t="inlineStr">
        <is>
          <t>VND</t>
        </is>
      </c>
      <c r="E142" t="inlineStr">
        <is>
          <t>CONFLICT</t>
        </is>
      </c>
      <c r="F142" t="inlineStr">
        <is>
          <t>Valuation!B1 = J16 = P/B hợp lý FY27F x BPS FY27F</t>
        </is>
      </c>
      <c r="G142" t="inlineStr">
        <is>
          <t>Sheet Valuation cho 56,100 trước điều chỉnh và ~61,400 sau (ROE bền vững FY27F lên 14.8%, BPS 37,570). Slide vẫn để 77,800 — CHƯA ĐỊNH GIÁ LẠI, cần CV quyết</t>
        </is>
      </c>
    </row>
    <row r="143">
      <c r="A143" t="inlineStr">
        <is>
          <t>G16</t>
        </is>
      </c>
      <c r="B143" t="inlineStr">
        <is>
          <t>Giá mục tiêu ghi 77,500 trong file stock pick</t>
        </is>
      </c>
      <c r="C143" t="inlineStr">
        <is>
          <t>77,500 vs 77,800</t>
        </is>
      </c>
      <c r="D143" t="inlineStr">
        <is>
          <t>VND</t>
        </is>
      </c>
      <c r="E143" t="inlineStr">
        <is>
          <t>CONFLICT</t>
        </is>
      </c>
      <c r="F143" t="inlineStr">
        <is>
          <t>Stock Pick!D6 và Target Price!C13 ghi 77,500; cột J6/L6 lại tính trên 77,800</t>
        </is>
      </c>
      <c r="G143" t="inlineStr">
        <is>
          <t>CHƯA SỬA — chênh 0.4%, cần CV xác nhận số nào đúng</t>
        </is>
      </c>
    </row>
    <row r="144">
      <c r="A144" t="inlineStr">
        <is>
          <t>G17</t>
        </is>
      </c>
      <c r="B144" t="inlineStr">
        <is>
          <t>Tăng trưởng tín dụng FY26F 11.7% vs 1.5% thực hiện 1H26</t>
        </is>
      </c>
      <c r="E144" t="inlineStr">
        <is>
          <t>GAP</t>
        </is>
      </c>
      <c r="F144" t="inlineStr">
        <is>
          <t>Model!Y206 = 10.1%; slide ghi 11.7%</t>
        </is>
      </c>
      <c r="G144" t="inlineStr">
        <is>
          <t>CHƯA XỬ LÝ — hạ giả định này sẽ kéo NII, TOI và cả mẫu số của NPL/CIR</t>
        </is>
      </c>
    </row>
    <row r="145">
      <c r="A145" t="inlineStr">
        <is>
          <t>G18</t>
        </is>
      </c>
      <c r="B145" t="inlineStr">
        <is>
          <t>Model chưa mở lại bằng Excel</t>
        </is>
      </c>
      <c r="E145" t="inlineStr">
        <is>
          <t>GAP</t>
        </is>
      </c>
      <c r="F145" t="inlineStr">
        <is>
          <t>fullCalcOnLoad=1 đã bật</t>
        </is>
      </c>
      <c r="G145" t="inlineStr">
        <is>
          <t>Toàn bộ số ở trên tính lại bằng Python theo đúng chuỗi công thức của model (fix_stb_model.cascade); cần mở Excel đối chiếu trước khi phát hành</t>
        </is>
      </c>
    </row>
    <row r="147">
      <c r="B147" s="13" t="inlineStr">
        <is>
          <t>STB — REVISION 04/08/2026: giữ bao phủ 50% -&gt; NPL 5.5%; CIR 40/38/36% FY26-28F</t>
        </is>
      </c>
    </row>
    <row r="148">
      <c r="A148" t="inlineStr">
        <is>
          <t>R1</t>
        </is>
      </c>
      <c r="B148" t="inlineStr">
        <is>
          <t>Dự phòng đã trích cuối Q2/2026</t>
        </is>
      </c>
      <c r="C148" t="inlineStr">
        <is>
          <t>27,177</t>
        </is>
      </c>
      <c r="D148" t="inlineStr">
        <is>
          <t>VNDbn</t>
        </is>
      </c>
      <c r="E148" t="inlineStr">
        <is>
          <t>MODEL</t>
        </is>
      </c>
      <c r="F148" t="inlineStr">
        <is>
          <t>FinModel_STB_2Q26 Model!CA cột quý 2Q26; FY25 20,056 + 7,119 trích 1H26</t>
        </is>
      </c>
      <c r="G148" t="inlineStr">
        <is>
          <t>Bao phủ 56.7% (27,177/47,957), tăng từ 50.0% cuối 2025 — gần như chưa xóa nợ trong 1H26</t>
        </is>
      </c>
    </row>
    <row r="149">
      <c r="A149" t="inlineStr">
        <is>
          <t>R2</t>
        </is>
      </c>
      <c r="B149" t="inlineStr">
        <is>
          <t>Xóa nợ FY26F</t>
        </is>
      </c>
      <c r="C149" t="inlineStr">
        <is>
          <t>11796</t>
        </is>
      </c>
      <c r="D149" t="inlineStr">
        <is>
          <t>VNDbn</t>
        </is>
      </c>
      <c r="E149" t="inlineStr">
        <is>
          <t>DERIVED</t>
        </is>
      </c>
      <c r="F149" t="inlineStr">
        <is>
          <t>Model!Y287 = -1.71% x dư nợ 689,832 (trước: -0.95%)</t>
        </is>
      </c>
      <c r="G149" t="inlineStr">
        <is>
          <t>Nghiệm của bài toán giữ bao phủ 50%; tương đương 37% dư nợ nhóm 5 (~32,000)</t>
        </is>
      </c>
    </row>
    <row r="150">
      <c r="A150" t="inlineStr">
        <is>
          <t>R3</t>
        </is>
      </c>
      <c r="B150" t="inlineStr">
        <is>
          <t>Tỷ lệ trích/xóa FY26F</t>
        </is>
      </c>
      <c r="C150" t="inlineStr">
        <is>
          <t>0.85x</t>
        </is>
      </c>
      <c r="D150" t="inlineStr">
        <is>
          <t>x</t>
        </is>
      </c>
      <c r="E150" t="inlineStr">
        <is>
          <t>MAS</t>
        </is>
      </c>
      <c r="F150" t="inlineStr">
        <is>
          <t>Model!Y278 = -Y279*0.85 (trước: *1.5)</t>
        </is>
      </c>
      <c r="G150" t="inlineStr">
        <is>
          <t>Xử lý nợ tài trợ từ nguồn dự phòng đã trích, không từ P&amp;L. Giữ 1.5x trên mức xóa nợ này là nguyên nhân làm LNTT sụt 64% mà CV đã bác</t>
        </is>
      </c>
    </row>
    <row r="151">
      <c r="A151" t="inlineStr">
        <is>
          <t>R4</t>
        </is>
      </c>
      <c r="B151" t="inlineStr">
        <is>
          <t>Dự phòng đã trích cuối FY26F / bao phủ</t>
        </is>
      </c>
      <c r="C151" t="inlineStr">
        <is>
          <t>18973 / 50.0%</t>
        </is>
      </c>
      <c r="D151" t="inlineStr">
        <is>
          <t>VNDbn / %</t>
        </is>
      </c>
      <c r="E151" t="inlineStr">
        <is>
          <t>DERIVED</t>
        </is>
      </c>
      <c r="F151" t="inlineStr">
        <is>
          <t>gen 4,665 + spec 14,309; NPL 5.5% x 689,832 = 37,941</t>
        </is>
      </c>
      <c r="G151" t="inlineStr">
        <is>
          <t>Đúng mục tiêu "giữ bao phủ 50%" của CV</t>
        </is>
      </c>
    </row>
    <row r="152">
      <c r="A152" t="inlineStr">
        <is>
          <t>R5</t>
        </is>
      </c>
      <c r="B152" t="inlineStr">
        <is>
          <t>NPL FY26F / FY27F / FY28F</t>
        </is>
      </c>
      <c r="C152" t="inlineStr">
        <is>
          <t>5.5 / 4.0 / 2.7</t>
        </is>
      </c>
      <c r="D152" t="inlineStr">
        <is>
          <t>%</t>
        </is>
      </c>
      <c r="E152" t="inlineStr">
        <is>
          <t>MAS</t>
        </is>
      </c>
      <c r="F152" t="inlineStr">
        <is>
          <t>NPL!N26=0.933 N27=0.012 N28=0.009 N29=0.012 N30=0.034 (tổng 1.000)</t>
        </is>
      </c>
      <c r="G152" t="inlineStr">
        <is>
          <t>Hàm ý nợ xấu phát sinh mới 2H26 = 1,780 tỷ, bằng 23% nhịp 1H26 (7,800) — khớp giả định "chậm lại còn 20% nhịp 1H" CV đưa ra trước đó</t>
        </is>
      </c>
    </row>
    <row r="153">
      <c r="A153" t="inlineStr">
        <is>
          <t>R6</t>
        </is>
      </c>
      <c r="B153" t="inlineStr">
        <is>
          <t>CIR FY26F / FY27F / FY28F</t>
        </is>
      </c>
      <c r="C153" t="inlineStr">
        <is>
          <t>40.0 / 38.0 / 36.0</t>
        </is>
      </c>
      <c r="D153" t="inlineStr">
        <is>
          <t>%</t>
        </is>
      </c>
      <c r="E153" t="inlineStr">
        <is>
          <t>MAS</t>
        </is>
      </c>
      <c r="F153" t="inlineStr">
        <is>
          <t>Model!Y132=X132*1 và Y134=X134*1 (lương và chi phí khác đi ngang so với FY25); Z132/Z134 = *1.015; AA132/AA134 = *1.106. Khấu hao Y133/Z133/AA133 giữ nguyên build cũ</t>
        </is>
      </c>
      <c r="G15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54">
      <c r="A154" t="inlineStr">
        <is>
          <t>R6b</t>
        </is>
      </c>
      <c r="B154" t="inlineStr">
        <is>
          <t>Ràng buộc của mục tiêu CIR 38% năm FY27F</t>
        </is>
      </c>
      <c r="C154" t="inlineStr">
        <is>
          <t>+1.5%</t>
        </is>
      </c>
      <c r="D154" t="inlineStr">
        <is>
          <t>% tăng opex</t>
        </is>
      </c>
      <c r="E154" t="inlineStr">
        <is>
          <t>GAP</t>
        </is>
      </c>
      <c r="F154" t="inlineStr">
        <is>
          <t>TOI FY27F +11.1% nhưng khấu hao Z133 = Y133*1.2 (+20%) theo build gốc</t>
        </is>
      </c>
      <c r="G15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55">
      <c r="A155" t="inlineStr">
        <is>
          <t>R7</t>
        </is>
      </c>
      <c r="B155" t="inlineStr">
        <is>
          <t>Opex 2H26 hàm ý</t>
        </is>
      </c>
      <c r="C155" t="inlineStr">
        <is>
          <t>6949</t>
        </is>
      </c>
      <c r="D155" t="inlineStr">
        <is>
          <t>VNDbn</t>
        </is>
      </c>
      <c r="E155" t="inlineStr">
        <is>
          <t>DERIVED</t>
        </is>
      </c>
      <c r="F155" t="inlineStr">
        <is>
          <t>FY26F 13182 - 1H26 thực tế 6,233</t>
        </is>
      </c>
      <c r="G155" t="inlineStr">
        <is>
          <t>+11.5% so với 1H26 — vẫn phản ánh tính mùa vụ dồn về cuối năm, không phải cắt giảm chi phí</t>
        </is>
      </c>
    </row>
    <row r="156">
      <c r="A156" t="inlineStr">
        <is>
          <t>R8</t>
        </is>
      </c>
      <c r="B156" t="inlineStr">
        <is>
          <t>LNTT / LNST FY26F</t>
        </is>
      </c>
      <c r="C156" t="inlineStr">
        <is>
          <t>8683 / 6761</t>
        </is>
      </c>
      <c r="D156" t="inlineStr">
        <is>
          <t>VNDbn</t>
        </is>
      </c>
      <c r="E156" t="inlineStr">
        <is>
          <t>DERIVED</t>
        </is>
      </c>
      <c r="F156" t="inlineStr">
        <is>
          <t>TOI 32,956 - opex 13182 - dự phòng 11091</t>
        </is>
      </c>
      <c r="G156" t="inlineStr">
        <is>
          <t>+13.8% CK. Hàm ý LNTT 2H26 4547 tỷ = 15x nền 2H25 (297 tỷ) và +9.9% so với 1H26</t>
        </is>
      </c>
    </row>
    <row r="157">
      <c r="A157" t="inlineStr">
        <is>
          <t>R9</t>
        </is>
      </c>
      <c r="B157" t="inlineStr">
        <is>
          <t>Dự phòng P&amp;L FY26F</t>
        </is>
      </c>
      <c r="C157" t="inlineStr">
        <is>
          <t>11091</t>
        </is>
      </c>
      <c r="D157" t="inlineStr">
        <is>
          <t>VNDbn</t>
        </is>
      </c>
      <c r="E157" t="inlineStr">
        <is>
          <t>DERIVED</t>
        </is>
      </c>
      <c r="F157" t="inlineStr">
        <is>
          <t>chung 687 + cụ thể 10,027 + VAMC 377</t>
        </is>
      </c>
      <c r="G157" t="inlineStr">
        <is>
          <t>-2.6% CK so với 11,384 của FY25; gần như không đổi so với 10,889 của bản trước</t>
        </is>
      </c>
    </row>
    <row r="158">
      <c r="A158" t="inlineStr">
        <is>
          <t>C1</t>
        </is>
      </c>
      <c r="B158" t="inlineStr">
        <is>
          <t>Model!X284 dự phòng cụ thể đầu kỳ</t>
        </is>
      </c>
      <c r="C158" t="inlineStr">
        <is>
          <t>4,891 -&gt; 16,078</t>
        </is>
      </c>
      <c r="D158" t="inlineStr">
        <is>
          <t>VNDbn</t>
        </is>
      </c>
      <c r="E158" t="inlineStr">
        <is>
          <t>CONFLICT</t>
        </is>
      </c>
      <c r="F158" t="inlineStr">
        <is>
          <t>Model!X264 (BCĐKT FY25) = 20,056 nhưng bảng chuyển động X274+X284 chỉ 8,869</t>
        </is>
      </c>
      <c r="G158" t="inlineStr">
        <is>
          <t>Lỗi có sẵn trong model: mọi tỷ lệ bao phủ dự phóng trước đây đều vô nghĩa. Đã sửa để X274+X284 = 20,056</t>
        </is>
      </c>
    </row>
    <row r="159">
      <c r="A159" t="inlineStr">
        <is>
          <t>G14</t>
        </is>
      </c>
      <c r="B159" t="inlineStr">
        <is>
          <t>Cân đối kế toán lệch sau khi sửa X284</t>
        </is>
      </c>
      <c r="C159" t="inlineStr">
        <is>
          <t>-6,755</t>
        </is>
      </c>
      <c r="D159" t="inlineStr">
        <is>
          <t>VNDbn</t>
        </is>
      </c>
      <c r="E159" t="inlineStr">
        <is>
          <t>GAP</t>
        </is>
      </c>
      <c r="F159" t="inlineStr">
        <is>
          <t>Model!Y103 = Y61 - Y102; dự phòng tăng làm cho vay thuần giảm 6,146, VCSH tăng 609</t>
        </is>
      </c>
      <c r="G159" t="inlineStr">
        <is>
          <t>CHƯA XỬ LÝ — cần chốt khoản mục bù (huy động hoặc tiền gửi liên ngân hàng) trước khi phát hành. Tổng tài sản trên slide = số đã công bố trừ 6,146</t>
        </is>
      </c>
    </row>
    <row r="160">
      <c r="A160" t="inlineStr">
        <is>
          <t>G15</t>
        </is>
      </c>
      <c r="B160" t="inlineStr">
        <is>
          <t>Giá mục tiêu vs sheet Valuation</t>
        </is>
      </c>
      <c r="C160" t="inlineStr">
        <is>
          <t>77,800 vs 65,600</t>
        </is>
      </c>
      <c r="D160" t="inlineStr">
        <is>
          <t>VND</t>
        </is>
      </c>
      <c r="E160" t="inlineStr">
        <is>
          <t>CONFLICT</t>
        </is>
      </c>
      <c r="F160" t="inlineStr">
        <is>
          <t>Valuation!B1 = J16 = P/B hợp lý FY27F x BPS FY27F</t>
        </is>
      </c>
      <c r="G160" t="inlineStr">
        <is>
          <t>Sheet Valuation cho 56,100 trước điều chỉnh và ~65,600 sau (ROE bền vững FY27F lên 15.5%, BPS 37,822). Slide vẫn để 77,800 — CHƯA ĐỊNH GIÁ LẠI, cần CV quyết</t>
        </is>
      </c>
    </row>
    <row r="161">
      <c r="A161" t="inlineStr">
        <is>
          <t>G16</t>
        </is>
      </c>
      <c r="B161" t="inlineStr">
        <is>
          <t>Giá mục tiêu ghi 77,500 trong file stock pick</t>
        </is>
      </c>
      <c r="C161" t="inlineStr">
        <is>
          <t>77,500 vs 77,800</t>
        </is>
      </c>
      <c r="D161" t="inlineStr">
        <is>
          <t>VND</t>
        </is>
      </c>
      <c r="E161" t="inlineStr">
        <is>
          <t>CONFLICT</t>
        </is>
      </c>
      <c r="F161" t="inlineStr">
        <is>
          <t>Stock Pick!D6 và Target Price!C13 ghi 77,500; cột J6/L6 lại tính trên 77,800</t>
        </is>
      </c>
      <c r="G161" t="inlineStr">
        <is>
          <t>CHƯA SỬA — chênh 0.4%, cần CV xác nhận số nào đúng</t>
        </is>
      </c>
    </row>
    <row r="162">
      <c r="A162" t="inlineStr">
        <is>
          <t>G17</t>
        </is>
      </c>
      <c r="B162" t="inlineStr">
        <is>
          <t>Tăng trưởng tín dụng FY26F 11.7% vs 1.5% thực hiện 1H26</t>
        </is>
      </c>
      <c r="E162" t="inlineStr">
        <is>
          <t>GAP</t>
        </is>
      </c>
      <c r="F162" t="inlineStr">
        <is>
          <t>Model!Y206 = 10.1%; slide ghi 11.7%</t>
        </is>
      </c>
      <c r="G162" t="inlineStr">
        <is>
          <t>CHƯA XỬ LÝ — hạ giả định này sẽ kéo NII, TOI và cả mẫu số của NPL/CIR</t>
        </is>
      </c>
    </row>
    <row r="163">
      <c r="A163" t="inlineStr">
        <is>
          <t>G18</t>
        </is>
      </c>
      <c r="B163" t="inlineStr">
        <is>
          <t>Model chưa mở lại bằng Excel</t>
        </is>
      </c>
      <c r="E163" t="inlineStr">
        <is>
          <t>GAP</t>
        </is>
      </c>
      <c r="F163" t="inlineStr">
        <is>
          <t>fullCalcOnLoad=1 đã bật</t>
        </is>
      </c>
      <c r="G163" t="inlineStr">
        <is>
          <t>Toàn bộ số ở trên tính lại bằng Python theo đúng chuỗi công thức của model (fix_stb_model.cascade); cần mở Excel đối chiếu trước khi phát hành</t>
        </is>
      </c>
    </row>
    <row r="165">
      <c r="B165" s="13" t="inlineStr">
        <is>
          <t>STB — REVISION 04/08/2026: giữ bao phủ 50% -&gt; NPL 5.5%; CIR 40/38/36% FY26-28F</t>
        </is>
      </c>
    </row>
    <row r="166">
      <c r="A166" t="inlineStr">
        <is>
          <t>R1</t>
        </is>
      </c>
      <c r="B166" t="inlineStr">
        <is>
          <t>Dự phòng đã trích cuối Q2/2026</t>
        </is>
      </c>
      <c r="C166" t="inlineStr">
        <is>
          <t>27,177</t>
        </is>
      </c>
      <c r="D166" t="inlineStr">
        <is>
          <t>VNDbn</t>
        </is>
      </c>
      <c r="E166" t="inlineStr">
        <is>
          <t>MODEL</t>
        </is>
      </c>
      <c r="F166" t="inlineStr">
        <is>
          <t>FinModel_STB_2Q26 Model!CA cột quý 2Q26; FY25 20,056 + 7,119 trích 1H26</t>
        </is>
      </c>
      <c r="G166" t="inlineStr">
        <is>
          <t>Bao phủ 56.7% (27,177/47,957), tăng từ 50.0% cuối 2025 — gần như chưa xóa nợ trong 1H26</t>
        </is>
      </c>
    </row>
    <row r="167">
      <c r="A167" t="inlineStr">
        <is>
          <t>R2</t>
        </is>
      </c>
      <c r="B167" t="inlineStr">
        <is>
          <t>Xóa nợ FY26F</t>
        </is>
      </c>
      <c r="C167" t="inlineStr">
        <is>
          <t>11796</t>
        </is>
      </c>
      <c r="D167" t="inlineStr">
        <is>
          <t>VNDbn</t>
        </is>
      </c>
      <c r="E167" t="inlineStr">
        <is>
          <t>DERIVED</t>
        </is>
      </c>
      <c r="F167" t="inlineStr">
        <is>
          <t>Model!Y287 = -1.71% x dư nợ 689,832 (trước: -0.95%)</t>
        </is>
      </c>
      <c r="G167" t="inlineStr">
        <is>
          <t>Nghiệm của bài toán giữ bao phủ 50%; tương đương 37% dư nợ nhóm 5 (~32,000)</t>
        </is>
      </c>
    </row>
    <row r="168">
      <c r="A168" t="inlineStr">
        <is>
          <t>R3</t>
        </is>
      </c>
      <c r="B168" t="inlineStr">
        <is>
          <t>Tỷ lệ trích/xóa FY26F</t>
        </is>
      </c>
      <c r="C168" t="inlineStr">
        <is>
          <t>0.85x</t>
        </is>
      </c>
      <c r="D168" t="inlineStr">
        <is>
          <t>x</t>
        </is>
      </c>
      <c r="E168" t="inlineStr">
        <is>
          <t>MAS</t>
        </is>
      </c>
      <c r="F168" t="inlineStr">
        <is>
          <t>Model!Y278 = -Y279*0.85 (trước: *1.5)</t>
        </is>
      </c>
      <c r="G168" t="inlineStr">
        <is>
          <t>Xử lý nợ tài trợ từ nguồn dự phòng đã trích, không từ P&amp;L. Giữ 1.5x trên mức xóa nợ này là nguyên nhân làm LNTT sụt 64% mà CV đã bác</t>
        </is>
      </c>
    </row>
    <row r="169">
      <c r="A169" t="inlineStr">
        <is>
          <t>R4</t>
        </is>
      </c>
      <c r="B169" t="inlineStr">
        <is>
          <t>Dự phòng đã trích cuối FY26F / bao phủ</t>
        </is>
      </c>
      <c r="C169" t="inlineStr">
        <is>
          <t>18973 / 50.0%</t>
        </is>
      </c>
      <c r="D169" t="inlineStr">
        <is>
          <t>VNDbn / %</t>
        </is>
      </c>
      <c r="E169" t="inlineStr">
        <is>
          <t>DERIVED</t>
        </is>
      </c>
      <c r="F169" t="inlineStr">
        <is>
          <t>gen 4,665 + spec 14,309; NPL 5.5% x 689,832 = 37,941</t>
        </is>
      </c>
      <c r="G169" t="inlineStr">
        <is>
          <t>Đúng mục tiêu "giữ bao phủ 50%" của CV</t>
        </is>
      </c>
    </row>
    <row r="170">
      <c r="A170" t="inlineStr">
        <is>
          <t>R5</t>
        </is>
      </c>
      <c r="B170" t="inlineStr">
        <is>
          <t>NPL FY26F / FY27F / FY28F</t>
        </is>
      </c>
      <c r="C170" t="inlineStr">
        <is>
          <t>5.5 / 4.0 / 2.7</t>
        </is>
      </c>
      <c r="D170" t="inlineStr">
        <is>
          <t>%</t>
        </is>
      </c>
      <c r="E170" t="inlineStr">
        <is>
          <t>MAS</t>
        </is>
      </c>
      <c r="F170" t="inlineStr">
        <is>
          <t>NPL!N26=0.933 N27=0.012 N28=0.009 N29=0.012 N30=0.034 (tổng 1.000)</t>
        </is>
      </c>
      <c r="G170" t="inlineStr">
        <is>
          <t>Hàm ý nợ xấu phát sinh mới 2H26 = 1,780 tỷ, bằng 23% nhịp 1H26 (7,800) — khớp giả định "chậm lại còn 20% nhịp 1H" CV đưa ra trước đó</t>
        </is>
      </c>
    </row>
    <row r="171">
      <c r="A171" t="inlineStr">
        <is>
          <t>R6</t>
        </is>
      </c>
      <c r="B171" t="inlineStr">
        <is>
          <t>CIR FY26F / FY27F / FY28F</t>
        </is>
      </c>
      <c r="C171" t="inlineStr">
        <is>
          <t>40.0 / 38.0 / 36.0</t>
        </is>
      </c>
      <c r="D171" t="inlineStr">
        <is>
          <t>%</t>
        </is>
      </c>
      <c r="E171" t="inlineStr">
        <is>
          <t>MAS</t>
        </is>
      </c>
      <c r="F171" t="inlineStr">
        <is>
          <t>Model!Y132=X132*1 và Y134=X134*1 (lương và chi phí khác đi ngang so với FY25); Z132/Z134 = *1.015; AA132/AA134 = *1.106. Khấu hao Y133/Z133/AA133 giữ nguyên build cũ</t>
        </is>
      </c>
      <c r="G171"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72">
      <c r="A172" t="inlineStr">
        <is>
          <t>R6b</t>
        </is>
      </c>
      <c r="B172" t="inlineStr">
        <is>
          <t>Ràng buộc của mục tiêu CIR 38% năm FY27F</t>
        </is>
      </c>
      <c r="C172" t="inlineStr">
        <is>
          <t>+1.5%</t>
        </is>
      </c>
      <c r="D172" t="inlineStr">
        <is>
          <t>% tăng opex</t>
        </is>
      </c>
      <c r="E172" t="inlineStr">
        <is>
          <t>GAP</t>
        </is>
      </c>
      <c r="F172" t="inlineStr">
        <is>
          <t>TOI FY27F +11.1% nhưng khấu hao Z133 = Y133*1.2 (+20%) theo build gốc</t>
        </is>
      </c>
      <c r="G172"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73">
      <c r="A173" t="inlineStr">
        <is>
          <t>R7</t>
        </is>
      </c>
      <c r="B173" t="inlineStr">
        <is>
          <t>Opex 2H26 hàm ý</t>
        </is>
      </c>
      <c r="C173" t="inlineStr">
        <is>
          <t>6831</t>
        </is>
      </c>
      <c r="D173" t="inlineStr">
        <is>
          <t>VNDbn</t>
        </is>
      </c>
      <c r="E173" t="inlineStr">
        <is>
          <t>DERIVED</t>
        </is>
      </c>
      <c r="F173" t="inlineStr">
        <is>
          <t>FY26F 13065 - 1H26 thực tế 6,233</t>
        </is>
      </c>
      <c r="G173" t="inlineStr">
        <is>
          <t>+9.6% so với 1H26 — vẫn phản ánh tính mùa vụ dồn về cuối năm, không phải cắt giảm chi phí</t>
        </is>
      </c>
    </row>
    <row r="174">
      <c r="A174" t="inlineStr">
        <is>
          <t>R8</t>
        </is>
      </c>
      <c r="B174" t="inlineStr">
        <is>
          <t>LNTT / LNST FY26F</t>
        </is>
      </c>
      <c r="C174" t="inlineStr">
        <is>
          <t>8507 / 6623</t>
        </is>
      </c>
      <c r="D174" t="inlineStr">
        <is>
          <t>VNDbn</t>
        </is>
      </c>
      <c r="E174" t="inlineStr">
        <is>
          <t>DERIVED</t>
        </is>
      </c>
      <c r="F174" t="inlineStr">
        <is>
          <t>TOI 32,956 - opex 13065 - dự phòng 11091</t>
        </is>
      </c>
      <c r="G174" t="inlineStr">
        <is>
          <t>+11.5% CK. Hàm ý LNTT 2H26 4371 tỷ = 15x nền 2H25 (297 tỷ) và +5.7% so với 1H26</t>
        </is>
      </c>
    </row>
    <row r="175">
      <c r="A175" t="inlineStr">
        <is>
          <t>R9</t>
        </is>
      </c>
      <c r="B175" t="inlineStr">
        <is>
          <t>Dự phòng P&amp;L FY26F</t>
        </is>
      </c>
      <c r="C175" t="inlineStr">
        <is>
          <t>11091</t>
        </is>
      </c>
      <c r="D175" t="inlineStr">
        <is>
          <t>VNDbn</t>
        </is>
      </c>
      <c r="E175" t="inlineStr">
        <is>
          <t>DERIVED</t>
        </is>
      </c>
      <c r="F175" t="inlineStr">
        <is>
          <t>chung 687 + cụ thể 10,027 + VAMC 377</t>
        </is>
      </c>
      <c r="G175" t="inlineStr">
        <is>
          <t>-2.6% CK so với 11,384 của FY25; gần như không đổi so với 10,889 của bản trước</t>
        </is>
      </c>
    </row>
    <row r="176">
      <c r="A176" t="inlineStr">
        <is>
          <t>C1</t>
        </is>
      </c>
      <c r="B176" t="inlineStr">
        <is>
          <t>Model!X284 dự phòng cụ thể đầu kỳ</t>
        </is>
      </c>
      <c r="C176" t="inlineStr">
        <is>
          <t>4,891 -&gt; 16,078</t>
        </is>
      </c>
      <c r="D176" t="inlineStr">
        <is>
          <t>VNDbn</t>
        </is>
      </c>
      <c r="E176" t="inlineStr">
        <is>
          <t>CONFLICT</t>
        </is>
      </c>
      <c r="F176" t="inlineStr">
        <is>
          <t>Model!X264 (BCĐKT FY25) = 20,056 nhưng bảng chuyển động X274+X284 chỉ 8,869</t>
        </is>
      </c>
      <c r="G176" t="inlineStr">
        <is>
          <t>Lỗi có sẵn trong model: mọi tỷ lệ bao phủ dự phóng trước đây đều vô nghĩa. Đã sửa để X274+X284 = 20,056</t>
        </is>
      </c>
    </row>
    <row r="177">
      <c r="A177" t="inlineStr">
        <is>
          <t>G14</t>
        </is>
      </c>
      <c r="B177" t="inlineStr">
        <is>
          <t>Cân đối kế toán sau khi sửa X284</t>
        </is>
      </c>
      <c r="C177" t="inlineStr">
        <is>
          <t>0</t>
        </is>
      </c>
      <c r="D177" t="inlineStr">
        <is>
          <t>VNDbn</t>
        </is>
      </c>
      <c r="E177" t="inlineStr">
        <is>
          <t>MODEL</t>
        </is>
      </c>
      <c r="F177" t="inlineStr">
        <is>
          <t>Model!Y103 = 0 sau khi CV mở lại bằng Excel (bản 2b63c432)</t>
        </is>
      </c>
      <c r="G177" t="inlineStr">
        <is>
          <t>ĐÃ ĐÓNG — cảnh báo lệch -6,755 tỷ của tôi là SAI. Model tự cân đối; tổng tài sản Y61 = 1,014,277 (không phải 1,007,118 tôi ước tính)</t>
        </is>
      </c>
    </row>
    <row r="178">
      <c r="A178" t="inlineStr">
        <is>
          <t>R10</t>
        </is>
      </c>
      <c r="B178" t="inlineStr">
        <is>
          <t>Đối chiếu sau khi Excel tính lại</t>
        </is>
      </c>
      <c r="C178" t="inlineStr">
        <is>
          <t>khớp</t>
        </is>
      </c>
      <c r="E178" t="inlineStr">
        <is>
          <t>MODEL</t>
        </is>
      </c>
      <c r="F178" t="inlineStr">
        <is>
          <t>bản 2b63c432 do CV mở lại bằng Excel</t>
        </is>
      </c>
      <c r="G178" t="inlineStr">
        <is>
          <t>Opex Y135 13,182/13,913/15,367 khớp tuyệt đối; dự phòng Y254 11,091 khớp; dự phòng đã trích Y286 18,973 và bao phủ 50.0% khớp tuyệt đối</t>
        </is>
      </c>
    </row>
    <row r="179">
      <c r="A179" t="inlineStr">
        <is>
          <t>C2</t>
        </is>
      </c>
      <c r="B179" t="inlineStr">
        <is>
          <t>TOI dịch chuyển khi Excel tính lại</t>
        </is>
      </c>
      <c r="C179" t="inlineStr">
        <is>
          <t>32,662 vs 32,956</t>
        </is>
      </c>
      <c r="D179" t="inlineStr">
        <is>
          <t>VNDbn</t>
        </is>
      </c>
      <c r="E179" t="inlineStr">
        <is>
          <t>CONFLICT</t>
        </is>
      </c>
      <c r="F179" t="inlineStr">
        <is>
          <t>Model!Y117 = NII + phí + thu nhập khác</t>
        </is>
      </c>
      <c r="G179" t="inlineStr">
        <is>
          <t>Dự phòng đã trích lớn hơn làm cho vay thuần giảm -&gt; thu nhập lãi giảm. NII FY26F về 26,712 (+0.1% CK) từ 27,010. Hệ quả CIR trôi lên 40.36/37.66/36.48%, đã giải lại hệ số nhân opex về 0.9886/1.039/1.0739 để đúng 40/38/36%</t>
        </is>
      </c>
    </row>
    <row r="180">
      <c r="A180" t="inlineStr">
        <is>
          <t>N1</t>
        </is>
      </c>
      <c r="B180" t="inlineStr">
        <is>
          <t>NPL!DG6:DG11 cột 2Q26</t>
        </is>
      </c>
      <c r="C180" t="inlineStr">
        <is>
          <t>BY -&gt; BX</t>
        </is>
      </c>
      <c r="E180" t="inlineStr">
        <is>
          <t>MAS</t>
        </is>
      </c>
      <c r="F180" t="inlineStr">
        <is>
          <t>trỏ sang 'Notes(Quarter)'!BX81:BX86 (cột chèn thêm đẩy dữ liệu sang BX, BW là cột nhãn)</t>
        </is>
      </c>
      <c r="G180" t="inlineStr">
        <is>
          <t>Tổng 636,029; nhóm 1-5: 571,245 / 16,827 / 7,200 / 8,483 / 32,274. NPL 47,957 = 7.540% — khớp tuyệt đối con số trên slide</t>
        </is>
      </c>
    </row>
    <row r="181">
      <c r="A181" t="inlineStr">
        <is>
          <t>G19</t>
        </is>
      </c>
      <c r="B181" t="inlineStr">
        <is>
          <t>NPL hàng 19-21 lệch một dòng ở khối theo quý</t>
        </is>
      </c>
      <c r="E181" t="inlineStr">
        <is>
          <t>GAP</t>
        </is>
      </c>
      <c r="F181" t="inlineStr">
        <is>
          <t>DF19 = DF8/DF$22 (nợ nhóm 2 / nợ xấu) trong khi nhãn ghi "3) Substandard"</t>
        </is>
      </c>
      <c r="G181" t="inlineStr">
        <is>
          <t>CHƯA SỬA — lỗi có sẵn ở MỌI cột quý, không riêng 2Q26; hàng 19-21 cộng lại không bằng 100%. Không ảnh hưởng tỷ lệ NPL (hàng 23) vì hàng 22 = SUM(9:11) vẫn đúng. Sửa riêng cột DG sẽ phá nhóm shared formula</t>
        </is>
      </c>
    </row>
    <row r="182">
      <c r="A182" t="inlineStr">
        <is>
          <t>G15</t>
        </is>
      </c>
      <c r="B182" t="inlineStr">
        <is>
          <t>Giá mục tiêu vs sheet Valuation</t>
        </is>
      </c>
      <c r="C182" t="inlineStr">
        <is>
          <t>77,800 vs 65,600</t>
        </is>
      </c>
      <c r="D182" t="inlineStr">
        <is>
          <t>VND</t>
        </is>
      </c>
      <c r="E182" t="inlineStr">
        <is>
          <t>CONFLICT</t>
        </is>
      </c>
      <c r="F182" t="inlineStr">
        <is>
          <t>Valuation!B1 = J16 = P/B hợp lý FY27F x BPS FY27F</t>
        </is>
      </c>
      <c r="G182" t="inlineStr">
        <is>
          <t>Sheet Valuation cho 56,100 trước điều chỉnh và ~65,600 sau (ROE bền vững FY27F lên 15.5%, BPS 37,822). Slide vẫn để 77,800 — CHƯA ĐỊNH GIÁ LẠI, cần CV quyết</t>
        </is>
      </c>
    </row>
    <row r="183">
      <c r="A183" t="inlineStr">
        <is>
          <t>G16</t>
        </is>
      </c>
      <c r="B183" t="inlineStr">
        <is>
          <t>Giá mục tiêu ghi 77,500 trong file stock pick</t>
        </is>
      </c>
      <c r="C183" t="inlineStr">
        <is>
          <t>77,500 vs 77,800</t>
        </is>
      </c>
      <c r="D183" t="inlineStr">
        <is>
          <t>VND</t>
        </is>
      </c>
      <c r="E183" t="inlineStr">
        <is>
          <t>CONFLICT</t>
        </is>
      </c>
      <c r="F183" t="inlineStr">
        <is>
          <t>Stock Pick!D6 và Target Price!C13 ghi 77,500; cột J6/L6 lại tính trên 77,800</t>
        </is>
      </c>
      <c r="G183" t="inlineStr">
        <is>
          <t>CHƯA SỬA — chênh 0.4%, cần CV xác nhận số nào đúng</t>
        </is>
      </c>
    </row>
    <row r="184">
      <c r="A184" t="inlineStr">
        <is>
          <t>G17</t>
        </is>
      </c>
      <c r="B184" t="inlineStr">
        <is>
          <t>Tăng trưởng tín dụng FY26F 11.7% vs 1.5% thực hiện 1H26</t>
        </is>
      </c>
      <c r="E184" t="inlineStr">
        <is>
          <t>GAP</t>
        </is>
      </c>
      <c r="F184" t="inlineStr">
        <is>
          <t>Model!Y206 = 10.1%; slide ghi 11.7%</t>
        </is>
      </c>
      <c r="G184" t="inlineStr">
        <is>
          <t>CHƯA XỬ LÝ — hạ giả định này sẽ kéo NII, TOI và cả mẫu số của NPL/CIR</t>
        </is>
      </c>
    </row>
    <row r="185">
      <c r="A185" t="inlineStr">
        <is>
          <t>G18</t>
        </is>
      </c>
      <c r="B185" t="inlineStr">
        <is>
          <t>Model chưa mở lại bằng Excel</t>
        </is>
      </c>
      <c r="E185" t="inlineStr">
        <is>
          <t>GAP</t>
        </is>
      </c>
      <c r="F185" t="inlineStr">
        <is>
          <t>fullCalcOnLoad=1 đã bật</t>
        </is>
      </c>
      <c r="G185" t="inlineStr">
        <is>
          <t>Toàn bộ số ở trên tính lại bằng Python theo đúng chuỗi công thức của model (fix_stb_model.cascade); cần mở Excel đối chiếu trước khi phát hành</t>
        </is>
      </c>
    </row>
    <row r="187">
      <c r="B187" s="13" t="inlineStr">
        <is>
          <t>STB — REVISION 04/08/2026: giữ bao phủ 50% -&gt; NPL 5.5%; CIR 40/38/36% FY26-28F</t>
        </is>
      </c>
    </row>
    <row r="188">
      <c r="A188" t="inlineStr">
        <is>
          <t>R1</t>
        </is>
      </c>
      <c r="B188" t="inlineStr">
        <is>
          <t>Dự phòng đã trích cuối Q2/2026</t>
        </is>
      </c>
      <c r="C188" t="inlineStr">
        <is>
          <t>27,177</t>
        </is>
      </c>
      <c r="D188" t="inlineStr">
        <is>
          <t>VNDbn</t>
        </is>
      </c>
      <c r="E188" t="inlineStr">
        <is>
          <t>MODEL</t>
        </is>
      </c>
      <c r="F188" t="inlineStr">
        <is>
          <t>FinModel_STB_2Q26 Model!CA cột quý 2Q26; FY25 20,056 + 7,119 trích 1H26</t>
        </is>
      </c>
      <c r="G188" t="inlineStr">
        <is>
          <t>Bao phủ 56.7% (27,177/47,957), tăng từ 50.0% cuối 2025 — gần như chưa xóa nợ trong 1H26</t>
        </is>
      </c>
    </row>
    <row r="189">
      <c r="A189" t="inlineStr">
        <is>
          <t>R2</t>
        </is>
      </c>
      <c r="B189" t="inlineStr">
        <is>
          <t>Xóa nợ FY26F</t>
        </is>
      </c>
      <c r="C189" t="inlineStr">
        <is>
          <t>11796</t>
        </is>
      </c>
      <c r="D189" t="inlineStr">
        <is>
          <t>VNDbn</t>
        </is>
      </c>
      <c r="E189" t="inlineStr">
        <is>
          <t>DERIVED</t>
        </is>
      </c>
      <c r="F189" t="inlineStr">
        <is>
          <t>Model!Y287 = -1.71% x dư nợ 689,832 (trước: -0.95%)</t>
        </is>
      </c>
      <c r="G189" t="inlineStr">
        <is>
          <t>Nghiệm của bài toán giữ bao phủ 50%; tương đương 37% dư nợ nhóm 5 (~32,000)</t>
        </is>
      </c>
    </row>
    <row r="190">
      <c r="A190" t="inlineStr">
        <is>
          <t>R3</t>
        </is>
      </c>
      <c r="B190" t="inlineStr">
        <is>
          <t>Tỷ lệ trích/xóa FY26F</t>
        </is>
      </c>
      <c r="C190" t="inlineStr">
        <is>
          <t>0.8845x</t>
        </is>
      </c>
      <c r="D190" t="inlineStr">
        <is>
          <t>x</t>
        </is>
      </c>
      <c r="E190" t="inlineStr">
        <is>
          <t>MAS</t>
        </is>
      </c>
      <c r="F190" t="inlineStr">
        <is>
          <t>Model!Y278 = -Y279*0.8845 (1.5x -&gt; 0.85x -&gt; 0.8845x)</t>
        </is>
      </c>
      <c r="G190" t="inlineStr">
        <is>
          <t>Xử lý nợ tài trợ từ nguồn dự phòng đã trích, không từ P&amp;L. Giữ 1.5x trên mức xóa nợ này là nguyên nhân làm LNTT sụt 64% mà CV đã bác</t>
        </is>
      </c>
    </row>
    <row r="191">
      <c r="A191" t="inlineStr">
        <is>
          <t>R4</t>
        </is>
      </c>
      <c r="B191" t="inlineStr">
        <is>
          <t>Dự phòng đã trích cuối FY26F / bao phủ</t>
        </is>
      </c>
      <c r="C191" t="inlineStr">
        <is>
          <t>19380 / 51.1%</t>
        </is>
      </c>
      <c r="D191" t="inlineStr">
        <is>
          <t>VNDbn / %</t>
        </is>
      </c>
      <c r="E191" t="inlineStr">
        <is>
          <t>DERIVED</t>
        </is>
      </c>
      <c r="F191" t="inlineStr">
        <is>
          <t>gen 4,665 + spec 14,309; NPL 5.5% x 689,832 = 37,941</t>
        </is>
      </c>
      <c r="G191" t="inlineStr">
        <is>
          <t>Đúng mục tiêu "giữ bao phủ 50%" của CV</t>
        </is>
      </c>
    </row>
    <row r="192">
      <c r="A192" t="inlineStr">
        <is>
          <t>R5</t>
        </is>
      </c>
      <c r="B192" t="inlineStr">
        <is>
          <t>NPL FY26F / FY27F / FY28F</t>
        </is>
      </c>
      <c r="C192" t="inlineStr">
        <is>
          <t>5.5 / 4.0 / 2.7</t>
        </is>
      </c>
      <c r="D192" t="inlineStr">
        <is>
          <t>%</t>
        </is>
      </c>
      <c r="E192" t="inlineStr">
        <is>
          <t>MAS</t>
        </is>
      </c>
      <c r="F192" t="inlineStr">
        <is>
          <t>NPL!N26=0.933 N27=0.012 N28=0.009 N29=0.012 N30=0.034 (tổng 1.000)</t>
        </is>
      </c>
      <c r="G192" t="inlineStr">
        <is>
          <t>Hàm ý nợ xấu phát sinh mới 2H26 = 1,780 tỷ, bằng 23% nhịp 1H26 (7,800) — khớp giả định "chậm lại còn 20% nhịp 1H" CV đưa ra trước đó</t>
        </is>
      </c>
    </row>
    <row r="193">
      <c r="A193" t="inlineStr">
        <is>
          <t>R6</t>
        </is>
      </c>
      <c r="B193" t="inlineStr">
        <is>
          <t>CIR FY26F / FY27F / FY28F</t>
        </is>
      </c>
      <c r="C193" t="inlineStr">
        <is>
          <t>40.0 / 38.0 / 36.0</t>
        </is>
      </c>
      <c r="D193" t="inlineStr">
        <is>
          <t>%</t>
        </is>
      </c>
      <c r="E193" t="inlineStr">
        <is>
          <t>MAS</t>
        </is>
      </c>
      <c r="F193" t="inlineStr">
        <is>
          <t>Model!Y132=X132*1 và Y134=X134*1 (lương và chi phí khác đi ngang so với FY25); Z132/Z134 = *1.015; AA132/AA134 = *1.106. Khấu hao Y133/Z133/AA133 giữ nguyên build cũ</t>
        </is>
      </c>
      <c r="G19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94">
      <c r="A194" t="inlineStr">
        <is>
          <t>R6b</t>
        </is>
      </c>
      <c r="B194" t="inlineStr">
        <is>
          <t>Ràng buộc của mục tiêu CIR 38% năm FY27F</t>
        </is>
      </c>
      <c r="C194" t="inlineStr">
        <is>
          <t>+1.5%</t>
        </is>
      </c>
      <c r="D194" t="inlineStr">
        <is>
          <t>% tăng opex</t>
        </is>
      </c>
      <c r="E194" t="inlineStr">
        <is>
          <t>GAP</t>
        </is>
      </c>
      <c r="F194" t="inlineStr">
        <is>
          <t>TOI FY27F +11.1% nhưng khấu hao Z133 = Y133*1.2 (+20%) theo build gốc</t>
        </is>
      </c>
      <c r="G19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95">
      <c r="A195" t="inlineStr">
        <is>
          <t>R7</t>
        </is>
      </c>
      <c r="B195" t="inlineStr">
        <is>
          <t>Opex 2H26 hàm ý</t>
        </is>
      </c>
      <c r="C195" t="inlineStr">
        <is>
          <t>6831</t>
        </is>
      </c>
      <c r="D195" t="inlineStr">
        <is>
          <t>VNDbn</t>
        </is>
      </c>
      <c r="E195" t="inlineStr">
        <is>
          <t>DERIVED</t>
        </is>
      </c>
      <c r="F195" t="inlineStr">
        <is>
          <t>FY26F 13065 - 1H26 thực tế 6,233</t>
        </is>
      </c>
      <c r="G195" t="inlineStr">
        <is>
          <t>+9.6% so với 1H26 — vẫn phản ánh tính mùa vụ dồn về cuối năm, không phải cắt giảm chi phí</t>
        </is>
      </c>
    </row>
    <row r="196">
      <c r="A196" t="inlineStr">
        <is>
          <t>R8</t>
        </is>
      </c>
      <c r="B196" t="inlineStr">
        <is>
          <t>LNTT / LNST FY26F</t>
        </is>
      </c>
      <c r="C196" t="inlineStr">
        <is>
          <t>8100 / 6307</t>
        </is>
      </c>
      <c r="D196" t="inlineStr">
        <is>
          <t>VNDbn</t>
        </is>
      </c>
      <c r="E196" t="inlineStr">
        <is>
          <t>DERIVED</t>
        </is>
      </c>
      <c r="F196" t="inlineStr">
        <is>
          <t>TOI 32,956 - opex 13065 - dự phòng 11498</t>
        </is>
      </c>
      <c r="G196" t="inlineStr">
        <is>
          <t>+6.2% CK. Hàm ý LNTT 2H26 3964 tỷ = 13x nền 2H25 (297 tỷ) và +-4.2% so với 1H26</t>
        </is>
      </c>
    </row>
    <row r="197">
      <c r="A197" t="inlineStr">
        <is>
          <t>R9</t>
        </is>
      </c>
      <c r="B197" t="inlineStr">
        <is>
          <t>Dự phòng P&amp;L FY26F</t>
        </is>
      </c>
      <c r="C197" t="inlineStr">
        <is>
          <t>11498</t>
        </is>
      </c>
      <c r="D197" t="inlineStr">
        <is>
          <t>VNDbn</t>
        </is>
      </c>
      <c r="E197" t="inlineStr">
        <is>
          <t>DERIVED</t>
        </is>
      </c>
      <c r="F197" t="inlineStr">
        <is>
          <t>chung 687 + cụ thể 10,027 + VAMC 377</t>
        </is>
      </c>
      <c r="G197" t="inlineStr">
        <is>
          <t>-2.6% CK so với 11,384 của FY25; gần như không đổi so với 10,889 của bản trước</t>
        </is>
      </c>
    </row>
    <row r="198">
      <c r="A198" t="inlineStr">
        <is>
          <t>C1</t>
        </is>
      </c>
      <c r="B198" t="inlineStr">
        <is>
          <t>Model!X284 dự phòng cụ thể đầu kỳ</t>
        </is>
      </c>
      <c r="C198" t="inlineStr">
        <is>
          <t>4,891 -&gt; 16,078</t>
        </is>
      </c>
      <c r="D198" t="inlineStr">
        <is>
          <t>VNDbn</t>
        </is>
      </c>
      <c r="E198" t="inlineStr">
        <is>
          <t>CONFLICT</t>
        </is>
      </c>
      <c r="F198" t="inlineStr">
        <is>
          <t>Model!X264 (BCĐKT FY25) = 20,056 nhưng bảng chuyển động X274+X284 chỉ 8,869</t>
        </is>
      </c>
      <c r="G198" t="inlineStr">
        <is>
          <t>Lỗi có sẵn trong model: mọi tỷ lệ bao phủ dự phóng trước đây đều vô nghĩa. Đã sửa để X274+X284 = 20,056</t>
        </is>
      </c>
    </row>
    <row r="199">
      <c r="A199" t="inlineStr">
        <is>
          <t>G14</t>
        </is>
      </c>
      <c r="B199" t="inlineStr">
        <is>
          <t>Cân đối kế toán sau khi sửa X284</t>
        </is>
      </c>
      <c r="C199" t="inlineStr">
        <is>
          <t>0</t>
        </is>
      </c>
      <c r="D199" t="inlineStr">
        <is>
          <t>VNDbn</t>
        </is>
      </c>
      <c r="E199" t="inlineStr">
        <is>
          <t>MODEL</t>
        </is>
      </c>
      <c r="F199" t="inlineStr">
        <is>
          <t>Model!Y103 = 0 sau khi CV mở lại bằng Excel (bản 2b63c432)</t>
        </is>
      </c>
      <c r="G199" t="inlineStr">
        <is>
          <t>ĐÃ ĐÓNG — cảnh báo lệch -6,755 tỷ của tôi là SAI. Model tự cân đối; tổng tài sản Y61 = 1,014,277 (không phải 1,007,118 tôi ước tính)</t>
        </is>
      </c>
    </row>
    <row r="200">
      <c r="A200" t="inlineStr">
        <is>
          <t>R10</t>
        </is>
      </c>
      <c r="B200" t="inlineStr">
        <is>
          <t>Đối chiếu sau khi Excel tính lại</t>
        </is>
      </c>
      <c r="C200" t="inlineStr">
        <is>
          <t>khớp</t>
        </is>
      </c>
      <c r="E200" t="inlineStr">
        <is>
          <t>MODEL</t>
        </is>
      </c>
      <c r="F200" t="inlineStr">
        <is>
          <t>bản 2b63c432 do CV mở lại bằng Excel</t>
        </is>
      </c>
      <c r="G200" t="inlineStr">
        <is>
          <t>Opex Y135 13,182/13,913/15,367 khớp tuyệt đối; dự phòng Y254 11,091 khớp; dự phòng đã trích Y286 18,973 và bao phủ 50.0% khớp tuyệt đối</t>
        </is>
      </c>
    </row>
    <row r="201">
      <c r="A201" t="inlineStr">
        <is>
          <t>C2</t>
        </is>
      </c>
      <c r="B201" t="inlineStr">
        <is>
          <t>TOI dịch chuyển khi Excel tính lại</t>
        </is>
      </c>
      <c r="C201" t="inlineStr">
        <is>
          <t>32,662 vs 32,956</t>
        </is>
      </c>
      <c r="D201" t="inlineStr">
        <is>
          <t>VNDbn</t>
        </is>
      </c>
      <c r="E201" t="inlineStr">
        <is>
          <t>CONFLICT</t>
        </is>
      </c>
      <c r="F201" t="inlineStr">
        <is>
          <t>Model!Y117 = NII + phí + thu nhập khác</t>
        </is>
      </c>
      <c r="G201" t="inlineStr">
        <is>
          <t>Dự phòng đã trích lớn hơn làm cho vay thuần giảm -&gt; thu nhập lãi giảm. NII FY26F về 26,712 (+0.1% CK) từ 27,010. Hệ quả CIR trôi lên 40.36/37.66/36.48%, đã giải lại hệ số nhân opex về 0.9886/1.039/1.0739 để đúng 40/38/36%</t>
        </is>
      </c>
    </row>
    <row r="202">
      <c r="A202" t="inlineStr">
        <is>
          <t>N1</t>
        </is>
      </c>
      <c r="B202" t="inlineStr">
        <is>
          <t>NPL!DG6:DG11 cột 2Q26</t>
        </is>
      </c>
      <c r="C202" t="inlineStr">
        <is>
          <t>BY -&gt; BX</t>
        </is>
      </c>
      <c r="E202" t="inlineStr">
        <is>
          <t>MAS</t>
        </is>
      </c>
      <c r="F202" t="inlineStr">
        <is>
          <t>trỏ sang 'Notes(Quarter)'!BX81:BX86 (cột chèn thêm đẩy dữ liệu sang BX, BW là cột nhãn)</t>
        </is>
      </c>
      <c r="G202" t="inlineStr">
        <is>
          <t>Tổng 636,029; nhóm 1-5: 571,245 / 16,827 / 7,200 / 8,483 / 32,274. NPL 47,957 = 7.540% — khớp tuyệt đối con số trên slide</t>
        </is>
      </c>
    </row>
    <row r="203">
      <c r="A203" t="inlineStr">
        <is>
          <t>G19</t>
        </is>
      </c>
      <c r="B203" t="inlineStr">
        <is>
          <t>NPL hàng 19-21 lệch một dòng ở khối theo quý</t>
        </is>
      </c>
      <c r="E203" t="inlineStr">
        <is>
          <t>GAP</t>
        </is>
      </c>
      <c r="F203" t="inlineStr">
        <is>
          <t>DF19 = DF8/DF$22 (nợ nhóm 2 / nợ xấu) trong khi nhãn ghi "3) Substandard"</t>
        </is>
      </c>
      <c r="G203" t="inlineStr">
        <is>
          <t>CHƯA SỬA — lỗi có sẵn ở MỌI cột quý, không riêng 2Q26; hàng 19-21 cộng lại không bằng 100%. Không ảnh hưởng tỷ lệ NPL (hàng 23) vì hàng 22 = SUM(9:11) vẫn đúng. Sửa riêng cột DG sẽ phá nhóm shared formula</t>
        </is>
      </c>
    </row>
    <row r="204">
      <c r="A204" t="inlineStr">
        <is>
          <t>G15</t>
        </is>
      </c>
      <c r="B204" t="inlineStr">
        <is>
          <t>Giá mục tiêu vs sheet Valuation</t>
        </is>
      </c>
      <c r="C204" t="inlineStr">
        <is>
          <t>77,800 vs 65,600</t>
        </is>
      </c>
      <c r="D204" t="inlineStr">
        <is>
          <t>VND</t>
        </is>
      </c>
      <c r="E204" t="inlineStr">
        <is>
          <t>CONFLICT</t>
        </is>
      </c>
      <c r="F204" t="inlineStr">
        <is>
          <t>Valuation!B1 = J16 = P/B hợp lý FY27F x BPS FY27F</t>
        </is>
      </c>
      <c r="G204" t="inlineStr">
        <is>
          <t>Sheet Valuation cho 56,100 trước điều chỉnh và ~65,600 sau (ROE bền vững FY27F lên 15.5%, BPS 37,822). Slide vẫn để 77,800 — CHƯA ĐỊNH GIÁ LẠI, cần CV quyết</t>
        </is>
      </c>
    </row>
    <row r="205">
      <c r="A205" t="inlineStr">
        <is>
          <t>G16</t>
        </is>
      </c>
      <c r="B205" t="inlineStr">
        <is>
          <t>Giá mục tiêu ghi 77,500 trong file stock pick</t>
        </is>
      </c>
      <c r="C205" t="inlineStr">
        <is>
          <t>77,500 vs 77,800</t>
        </is>
      </c>
      <c r="D205" t="inlineStr">
        <is>
          <t>VND</t>
        </is>
      </c>
      <c r="E205" t="inlineStr">
        <is>
          <t>CONFLICT</t>
        </is>
      </c>
      <c r="F205" t="inlineStr">
        <is>
          <t>Stock Pick!D6 và Target Price!C13 ghi 77,500; cột J6/L6 lại tính trên 77,800</t>
        </is>
      </c>
      <c r="G205" t="inlineStr">
        <is>
          <t>CHƯA SỬA — chênh 0.4%, cần CV xác nhận số nào đúng</t>
        </is>
      </c>
    </row>
    <row r="206">
      <c r="A206" t="inlineStr">
        <is>
          <t>R11</t>
        </is>
      </c>
      <c r="B206" t="inlineStr">
        <is>
          <t>LNTT FY26F đưa về ngang kế hoạch</t>
        </is>
      </c>
      <c r="C206" t="inlineStr">
        <is>
          <t>8,100</t>
        </is>
      </c>
      <c r="D206" t="inlineStr">
        <is>
          <t>VNDbn</t>
        </is>
      </c>
      <c r="E206" t="inlineStr">
        <is>
          <t>MAS</t>
        </is>
      </c>
      <c r="F206" t="inlineStr">
        <is>
          <t>Model!Y278 0.85x -&gt; 0.8845x; dự phòng 11,091 -&gt; 11,498</t>
        </is>
      </c>
      <c r="G206" t="inlineStr">
        <is>
          <t>CV chọn lấy phần chênh 407 tỷ từ chi phí dự phòng thay vì hạ tăng trưởng tín dụng hay nâng CIR. NPL giữ 5.5%, CIR giữ 40%, bao phủ lên 51.1% từ 50.0%</t>
        </is>
      </c>
    </row>
    <row r="207">
      <c r="A207" t="inlineStr">
        <is>
          <t>C3</t>
        </is>
      </c>
      <c r="B207" t="inlineStr">
        <is>
          <t>Kế hoạch LNTT FY26 8,100 tỷ</t>
        </is>
      </c>
      <c r="C207" t="inlineStr">
        <is>
          <t>suy ra</t>
        </is>
      </c>
      <c r="D207" t="inlineStr">
        <is>
          <t>VNDbn</t>
        </is>
      </c>
      <c r="E207" t="inlineStr">
        <is>
          <t>CONFLICT</t>
        </is>
      </c>
      <c r="F207" t="inlineStr">
        <is>
          <t>Suy ra từ 4,136/51% theo trích dẫn báo chí "hoàn thành 51% mục tiêu"</t>
        </is>
      </c>
      <c r="G207" t="inlineStr">
        <is>
          <t>CHƯA CÓ NGHỊ QUYẾT ĐHĐCĐ TRONG HỒ SƠ. Nay con số này là mỏ neo của dự phóng LNTT nên cần lấy nguồn gốc trước khi phát hành. KH FY25 ~14,670 (7,628/52%) cũng suy ra tương tự</t>
        </is>
      </c>
    </row>
    <row r="208">
      <c r="A208" t="inlineStr">
        <is>
          <t>C4</t>
        </is>
      </c>
      <c r="B208" t="inlineStr">
        <is>
          <t>Slide ghi "ban lãnh đạo dự kiến ~5.6%" nợ xấu</t>
        </is>
      </c>
      <c r="C208" t="inlineStr">
        <is>
          <t>5.6%</t>
        </is>
      </c>
      <c r="D208" t="inlineStr">
        <is>
          <t>%</t>
        </is>
      </c>
      <c r="E208" t="inlineStr">
        <is>
          <t>CONFLICT</t>
        </is>
      </c>
      <c r="F208" t="inlineStr">
        <is>
          <t>Dòng 10 ghi 5.6% xuất hiện ở bản 24/07 dưới dạng "ước ~5.6%" — tức ước tính của MAS</t>
        </is>
      </c>
      <c r="G208" t="inlineStr">
        <is>
          <t>CHƯA SỬA — slide đang gán cho ban lãnh đạo. Nếu không có công bố của STB thì phải viết lại, đây là chỗ duy nhất trong khối STB có nguy cơ trình bày ước tính MAS như guidance</t>
        </is>
      </c>
    </row>
    <row r="209">
      <c r="A209" t="inlineStr">
        <is>
          <t>G17</t>
        </is>
      </c>
      <c r="B209" t="inlineStr">
        <is>
          <t>Tăng trưởng tín dụng FY26F 11.7% vs 1.5% thực hiện 1H26</t>
        </is>
      </c>
      <c r="E209" t="inlineStr">
        <is>
          <t>GAP</t>
        </is>
      </c>
      <c r="F209" t="inlineStr">
        <is>
          <t>Model!Y206 = 10.1%; slide ghi 11.7%</t>
        </is>
      </c>
      <c r="G209" t="inlineStr">
        <is>
          <t>CHƯA XỬ LÝ — CV đã cân nhắc dùng làm đòn bẩy đưa LNTT về kế hoạch nhưng chọn dự phòng. Dư nợ dựng từ dưới lên theo 6 phân khúc (Model!Y23:Y28) nên phải tính lại bằng Excel</t>
        </is>
      </c>
    </row>
    <row r="210">
      <c r="A210" t="inlineStr">
        <is>
          <t>G18</t>
        </is>
      </c>
      <c r="B210" t="inlineStr">
        <is>
          <t>Model chưa mở lại bằng Excel</t>
        </is>
      </c>
      <c r="E210" t="inlineStr">
        <is>
          <t>GAP</t>
        </is>
      </c>
      <c r="F210" t="inlineStr">
        <is>
          <t>fullCalcOnLoad=1 đã bật</t>
        </is>
      </c>
      <c r="G210" t="inlineStr">
        <is>
          <t>Toàn bộ số ở trên tính lại bằng Python theo đúng chuỗi công thức của model (fix_stb_model.cascade); cần mở Excel đối chiếu trước khi phát hành</t>
        </is>
      </c>
    </row>
    <row r="212">
      <c r="B212" s="13" t="inlineStr">
        <is>
          <t>STB — REVISION 04/08/2026: giữ bao phủ 50% -&gt; NPL 5.5%; CIR 40/38/36% FY26-28F</t>
        </is>
      </c>
    </row>
    <row r="213">
      <c r="A213" t="inlineStr">
        <is>
          <t>R1</t>
        </is>
      </c>
      <c r="B213" t="inlineStr">
        <is>
          <t>Dự phòng đã trích cuối Q2/2026</t>
        </is>
      </c>
      <c r="C213" t="inlineStr">
        <is>
          <t>27,177</t>
        </is>
      </c>
      <c r="D213" t="inlineStr">
        <is>
          <t>VNDbn</t>
        </is>
      </c>
      <c r="E213" t="inlineStr">
        <is>
          <t>MODEL</t>
        </is>
      </c>
      <c r="F213" t="inlineStr">
        <is>
          <t>FinModel_STB_2Q26 Model!CA cột quý 2Q26; FY25 20,056 + 7,119 trích 1H26</t>
        </is>
      </c>
      <c r="G213" t="inlineStr">
        <is>
          <t>Bao phủ 56.7% (27,177/47,957), tăng từ 50.0% cuối 2025 — gần như chưa xóa nợ trong 1H26</t>
        </is>
      </c>
    </row>
    <row r="214">
      <c r="A214" t="inlineStr">
        <is>
          <t>R2</t>
        </is>
      </c>
      <c r="B214" t="inlineStr">
        <is>
          <t>Xóa nợ FY26F</t>
        </is>
      </c>
      <c r="C214" t="inlineStr">
        <is>
          <t>11796</t>
        </is>
      </c>
      <c r="D214" t="inlineStr">
        <is>
          <t>VNDbn</t>
        </is>
      </c>
      <c r="E214" t="inlineStr">
        <is>
          <t>DERIVED</t>
        </is>
      </c>
      <c r="F214" t="inlineStr">
        <is>
          <t>Model!Y287 = -1.71% x dư nợ 689,832 (trước: -0.95%)</t>
        </is>
      </c>
      <c r="G214" t="inlineStr">
        <is>
          <t>Nghiệm của bài toán giữ bao phủ 50%; tương đương 37% dư nợ nhóm 5 (~32,000)</t>
        </is>
      </c>
    </row>
    <row r="215">
      <c r="A215" t="inlineStr">
        <is>
          <t>R3</t>
        </is>
      </c>
      <c r="B215" t="inlineStr">
        <is>
          <t>Tỷ lệ trích/xóa FY26F</t>
        </is>
      </c>
      <c r="C215" t="inlineStr">
        <is>
          <t>0.85x</t>
        </is>
      </c>
      <c r="D215" t="inlineStr">
        <is>
          <t>x</t>
        </is>
      </c>
      <c r="E215" t="inlineStr">
        <is>
          <t>MAS</t>
        </is>
      </c>
      <c r="F215" t="inlineStr">
        <is>
          <t>Model!Y278 = -Y279*0.85 (trước: *1.5)</t>
        </is>
      </c>
      <c r="G215" t="inlineStr">
        <is>
          <t>Xử lý nợ tài trợ từ nguồn dự phòng đã trích, không từ P&amp;L. Giữ 1.5x trên mức xóa nợ này là nguyên nhân làm LNTT sụt 64% mà CV đã bác</t>
        </is>
      </c>
    </row>
    <row r="216">
      <c r="A216" t="inlineStr">
        <is>
          <t>R4</t>
        </is>
      </c>
      <c r="B216" t="inlineStr">
        <is>
          <t>Dự phòng đã trích cuối FY26F / bao phủ</t>
        </is>
      </c>
      <c r="C216" t="inlineStr">
        <is>
          <t>18973 / 50.0%</t>
        </is>
      </c>
      <c r="D216" t="inlineStr">
        <is>
          <t>VNDbn / %</t>
        </is>
      </c>
      <c r="E216" t="inlineStr">
        <is>
          <t>DERIVED</t>
        </is>
      </c>
      <c r="F216" t="inlineStr">
        <is>
          <t>gen 4,665 + spec 14,309; NPL 5.5% x 689,832 = 37,941</t>
        </is>
      </c>
      <c r="G216" t="inlineStr">
        <is>
          <t>Đúng mục tiêu "giữ bao phủ 50%" của CV</t>
        </is>
      </c>
    </row>
    <row r="217">
      <c r="A217" t="inlineStr">
        <is>
          <t>R5</t>
        </is>
      </c>
      <c r="B217" t="inlineStr">
        <is>
          <t>NPL FY26F / FY27F / FY28F</t>
        </is>
      </c>
      <c r="C217" t="inlineStr">
        <is>
          <t>5.5 / 4.0 / 2.7</t>
        </is>
      </c>
      <c r="D217" t="inlineStr">
        <is>
          <t>%</t>
        </is>
      </c>
      <c r="E217" t="inlineStr">
        <is>
          <t>MAS</t>
        </is>
      </c>
      <c r="F217" t="inlineStr">
        <is>
          <t>NPL!N26=0.933 N27=0.012 N28=0.009 N29=0.012 N30=0.034 (tổng 1.000)</t>
        </is>
      </c>
      <c r="G217" t="inlineStr">
        <is>
          <t>Hàm ý nợ xấu phát sinh mới 2H26 = 1,780 tỷ, bằng 23% nhịp 1H26 (7,800) — khớp giả định "chậm lại còn 20% nhịp 1H" CV đưa ra trước đó</t>
        </is>
      </c>
    </row>
    <row r="218">
      <c r="A218" t="inlineStr">
        <is>
          <t>R6</t>
        </is>
      </c>
      <c r="B218" t="inlineStr">
        <is>
          <t>CIR FY26F / FY27F / FY28F</t>
        </is>
      </c>
      <c r="C218" t="inlineStr">
        <is>
          <t>40.0 / 38.0 / 36.0</t>
        </is>
      </c>
      <c r="D218" t="inlineStr">
        <is>
          <t>%</t>
        </is>
      </c>
      <c r="E218" t="inlineStr">
        <is>
          <t>MAS</t>
        </is>
      </c>
      <c r="F218" t="inlineStr">
        <is>
          <t>Model!Y132=X132*1 và Y134=X134*1 (lương và chi phí khác đi ngang so với FY25); Z132/Z134 = *1.015; AA132/AA134 = *1.106. Khấu hao Y133/Z133/AA133 giữ nguyên build cũ</t>
        </is>
      </c>
      <c r="G218"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219">
      <c r="A219" t="inlineStr">
        <is>
          <t>R6b</t>
        </is>
      </c>
      <c r="B219" t="inlineStr">
        <is>
          <t>Ràng buộc của mục tiêu CIR 38% năm FY27F</t>
        </is>
      </c>
      <c r="C219" t="inlineStr">
        <is>
          <t>+1.5%</t>
        </is>
      </c>
      <c r="D219" t="inlineStr">
        <is>
          <t>% tăng opex</t>
        </is>
      </c>
      <c r="E219" t="inlineStr">
        <is>
          <t>GAP</t>
        </is>
      </c>
      <c r="F219" t="inlineStr">
        <is>
          <t>TOI FY27F +11.1% nhưng khấu hao Z133 = Y133*1.2 (+20%) theo build gốc</t>
        </is>
      </c>
      <c r="G219"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220">
      <c r="A220" t="inlineStr">
        <is>
          <t>R7</t>
        </is>
      </c>
      <c r="B220" t="inlineStr">
        <is>
          <t>Opex 2H26 hàm ý</t>
        </is>
      </c>
      <c r="C220" t="inlineStr">
        <is>
          <t>6831</t>
        </is>
      </c>
      <c r="D220" t="inlineStr">
        <is>
          <t>VNDbn</t>
        </is>
      </c>
      <c r="E220" t="inlineStr">
        <is>
          <t>DERIVED</t>
        </is>
      </c>
      <c r="F220" t="inlineStr">
        <is>
          <t>FY26F 13065 - 1H26 thực tế 6,233</t>
        </is>
      </c>
      <c r="G220" t="inlineStr">
        <is>
          <t>+9.6% so với 1H26 — vẫn phản ánh tính mùa vụ dồn về cuối năm, không phải cắt giảm chi phí</t>
        </is>
      </c>
    </row>
    <row r="221">
      <c r="A221" t="inlineStr">
        <is>
          <t>R8</t>
        </is>
      </c>
      <c r="B221" t="inlineStr">
        <is>
          <t>LNTT / LNST FY26F</t>
        </is>
      </c>
      <c r="C221" t="inlineStr">
        <is>
          <t>8507 / 6623</t>
        </is>
      </c>
      <c r="D221" t="inlineStr">
        <is>
          <t>VNDbn</t>
        </is>
      </c>
      <c r="E221" t="inlineStr">
        <is>
          <t>DERIVED</t>
        </is>
      </c>
      <c r="F221" t="inlineStr">
        <is>
          <t>TOI 32,956 - opex 13065 - dự phòng 11091</t>
        </is>
      </c>
      <c r="G221" t="inlineStr">
        <is>
          <t>+11.5% CK. Hàm ý LNTT 2H26 4371 tỷ = 15x nền 2H25 (297 tỷ) và +5.7% so với 1H26</t>
        </is>
      </c>
    </row>
    <row r="222">
      <c r="A222" t="inlineStr">
        <is>
          <t>R9</t>
        </is>
      </c>
      <c r="B222" t="inlineStr">
        <is>
          <t>Dự phòng P&amp;L FY26F</t>
        </is>
      </c>
      <c r="C222" t="inlineStr">
        <is>
          <t>11091</t>
        </is>
      </c>
      <c r="D222" t="inlineStr">
        <is>
          <t>VNDbn</t>
        </is>
      </c>
      <c r="E222" t="inlineStr">
        <is>
          <t>DERIVED</t>
        </is>
      </c>
      <c r="F222" t="inlineStr">
        <is>
          <t>chung 687 + cụ thể 10,027 + VAMC 377</t>
        </is>
      </c>
      <c r="G222" t="inlineStr">
        <is>
          <t>-2.6% CK so với 11,384 của FY25; gần như không đổi so với 10,889 của bản trước</t>
        </is>
      </c>
    </row>
    <row r="223">
      <c r="A223" t="inlineStr">
        <is>
          <t>C1</t>
        </is>
      </c>
      <c r="B223" t="inlineStr">
        <is>
          <t>Model!X284 dự phòng cụ thể đầu kỳ</t>
        </is>
      </c>
      <c r="C223" t="inlineStr">
        <is>
          <t>4,891 -&gt; 16,078</t>
        </is>
      </c>
      <c r="D223" t="inlineStr">
        <is>
          <t>VNDbn</t>
        </is>
      </c>
      <c r="E223" t="inlineStr">
        <is>
          <t>CONFLICT</t>
        </is>
      </c>
      <c r="F223" t="inlineStr">
        <is>
          <t>Model!X264 (BCĐKT FY25) = 20,056 nhưng bảng chuyển động X274+X284 chỉ 8,869</t>
        </is>
      </c>
      <c r="G223" t="inlineStr">
        <is>
          <t>Lỗi có sẵn trong model: mọi tỷ lệ bao phủ dự phóng trước đây đều vô nghĩa. Đã sửa để X274+X284 = 20,056</t>
        </is>
      </c>
    </row>
    <row r="224">
      <c r="A224" t="inlineStr">
        <is>
          <t>G14</t>
        </is>
      </c>
      <c r="B224" t="inlineStr">
        <is>
          <t>Cân đối kế toán sau khi sửa X284</t>
        </is>
      </c>
      <c r="C224" t="inlineStr">
        <is>
          <t>0</t>
        </is>
      </c>
      <c r="D224" t="inlineStr">
        <is>
          <t>VNDbn</t>
        </is>
      </c>
      <c r="E224" t="inlineStr">
        <is>
          <t>MODEL</t>
        </is>
      </c>
      <c r="F224" t="inlineStr">
        <is>
          <t>Model!Y103 = 0 sau khi CV mở lại bằng Excel (bản 2b63c432)</t>
        </is>
      </c>
      <c r="G224" t="inlineStr">
        <is>
          <t>ĐÃ ĐÓNG — cảnh báo lệch -6,755 tỷ của tôi là SAI. Model tự cân đối; tổng tài sản Y61 = 1,014,277 (không phải 1,007,118 tôi ước tính)</t>
        </is>
      </c>
    </row>
    <row r="225">
      <c r="A225" t="inlineStr">
        <is>
          <t>R10</t>
        </is>
      </c>
      <c r="B225" t="inlineStr">
        <is>
          <t>Đối chiếu sau khi Excel tính lại</t>
        </is>
      </c>
      <c r="C225" t="inlineStr">
        <is>
          <t>khớp</t>
        </is>
      </c>
      <c r="E225" t="inlineStr">
        <is>
          <t>MODEL</t>
        </is>
      </c>
      <c r="F225" t="inlineStr">
        <is>
          <t>bản 2b63c432 do CV mở lại bằng Excel</t>
        </is>
      </c>
      <c r="G225" t="inlineStr">
        <is>
          <t>Opex Y135 13,182/13,913/15,367 khớp tuyệt đối; dự phòng Y254 11,091 khớp; dự phòng đã trích Y286 18,973 và bao phủ 50.0% khớp tuyệt đối</t>
        </is>
      </c>
    </row>
    <row r="226">
      <c r="A226" t="inlineStr">
        <is>
          <t>C2</t>
        </is>
      </c>
      <c r="B226" t="inlineStr">
        <is>
          <t>TOI dịch chuyển khi Excel tính lại</t>
        </is>
      </c>
      <c r="C226" t="inlineStr">
        <is>
          <t>32,662 vs 32,956</t>
        </is>
      </c>
      <c r="D226" t="inlineStr">
        <is>
          <t>VNDbn</t>
        </is>
      </c>
      <c r="E226" t="inlineStr">
        <is>
          <t>CONFLICT</t>
        </is>
      </c>
      <c r="F226" t="inlineStr">
        <is>
          <t>Model!Y117 = NII + phí + thu nhập khác</t>
        </is>
      </c>
      <c r="G226" t="inlineStr">
        <is>
          <t>Dự phòng đã trích lớn hơn làm cho vay thuần giảm -&gt; thu nhập lãi giảm. NII FY26F về 26,712 (+0.1% CK) từ 27,010. Hệ quả CIR trôi lên 40.36/37.66/36.48%, đã giải lại hệ số nhân opex về 0.9886/1.039/1.0739 để đúng 40/38/36%</t>
        </is>
      </c>
    </row>
    <row r="227">
      <c r="A227" t="inlineStr">
        <is>
          <t>N1</t>
        </is>
      </c>
      <c r="B227" t="inlineStr">
        <is>
          <t>NPL!DG6:DG11 cột 2Q26</t>
        </is>
      </c>
      <c r="C227" t="inlineStr">
        <is>
          <t>BY -&gt; BX</t>
        </is>
      </c>
      <c r="E227" t="inlineStr">
        <is>
          <t>MAS</t>
        </is>
      </c>
      <c r="F227" t="inlineStr">
        <is>
          <t>trỏ sang 'Notes(Quarter)'!BX81:BX86 (cột chèn thêm đẩy dữ liệu sang BX, BW là cột nhãn)</t>
        </is>
      </c>
      <c r="G227" t="inlineStr">
        <is>
          <t>Tổng 636,029; nhóm 1-5: 571,245 / 16,827 / 7,200 / 8,483 / 32,274. NPL 47,957 = 7.540% — khớp tuyệt đối con số trên slide</t>
        </is>
      </c>
    </row>
    <row r="228">
      <c r="A228" t="inlineStr">
        <is>
          <t>G19</t>
        </is>
      </c>
      <c r="B228" t="inlineStr">
        <is>
          <t>NPL hàng 19-21 lệch một dòng ở khối theo quý</t>
        </is>
      </c>
      <c r="E228" t="inlineStr">
        <is>
          <t>GAP</t>
        </is>
      </c>
      <c r="F228" t="inlineStr">
        <is>
          <t>DF19 = DF8/DF$22 (nợ nhóm 2 / nợ xấu) trong khi nhãn ghi "3) Substandard"</t>
        </is>
      </c>
      <c r="G228" t="inlineStr">
        <is>
          <t>CHƯA SỬA — lỗi có sẵn ở MỌI cột quý, không riêng 2Q26; hàng 19-21 cộng lại không bằng 100%. Không ảnh hưởng tỷ lệ NPL (hàng 23) vì hàng 22 = SUM(9:11) vẫn đúng. Sửa riêng cột DG sẽ phá nhóm shared formula</t>
        </is>
      </c>
    </row>
    <row r="229">
      <c r="A229" t="inlineStr">
        <is>
          <t>G15</t>
        </is>
      </c>
      <c r="B229" t="inlineStr">
        <is>
          <t>Giá mục tiêu vs sheet Valuation</t>
        </is>
      </c>
      <c r="C229" t="inlineStr">
        <is>
          <t>77,800 vs 65,600</t>
        </is>
      </c>
      <c r="D229" t="inlineStr">
        <is>
          <t>VND</t>
        </is>
      </c>
      <c r="E229" t="inlineStr">
        <is>
          <t>CONFLICT</t>
        </is>
      </c>
      <c r="F229" t="inlineStr">
        <is>
          <t>Valuation!B1 = J16 = P/B hợp lý FY27F x BPS FY27F</t>
        </is>
      </c>
      <c r="G229" t="inlineStr">
        <is>
          <t>Sheet Valuation cho 56,100 trước điều chỉnh và ~65,600 sau (ROE bền vững FY27F lên 15.5%, BPS 37,822). Slide vẫn để 77,800 — CHƯA ĐỊNH GIÁ LẠI, cần CV quyết</t>
        </is>
      </c>
    </row>
    <row r="230">
      <c r="A230" t="inlineStr">
        <is>
          <t>G16</t>
        </is>
      </c>
      <c r="B230" t="inlineStr">
        <is>
          <t>Giá mục tiêu ghi 77,500 trong file stock pick</t>
        </is>
      </c>
      <c r="C230" t="inlineStr">
        <is>
          <t>77,500 vs 77,800</t>
        </is>
      </c>
      <c r="D230" t="inlineStr">
        <is>
          <t>VND</t>
        </is>
      </c>
      <c r="E230" t="inlineStr">
        <is>
          <t>CONFLICT</t>
        </is>
      </c>
      <c r="F230" t="inlineStr">
        <is>
          <t>Stock Pick!D6 và Target Price!C13 ghi 77,500; cột J6/L6 lại tính trên 77,800</t>
        </is>
      </c>
      <c r="G230" t="inlineStr">
        <is>
          <t>CHƯA SỬA — chênh 0.4%, cần CV xác nhận số nào đúng</t>
        </is>
      </c>
    </row>
    <row r="231">
      <c r="A231" t="inlineStr">
        <is>
          <t>R11</t>
        </is>
      </c>
      <c r="B231" t="inlineStr">
        <is>
          <t>LNTT FY26F neo theo kế hoạch</t>
        </is>
      </c>
      <c r="C231" t="inlineStr">
        <is>
          <t>8,507 = KH +5%</t>
        </is>
      </c>
      <c r="D231" t="inlineStr">
        <is>
          <t>VNDbn</t>
        </is>
      </c>
      <c r="E231" t="inlineStr">
        <is>
          <t>MAS</t>
        </is>
      </c>
      <c r="F231" t="inlineStr">
        <is>
          <t>Kế hoạch 8,100 x 1.05; đạt được ở tỷ lệ trích/xóa 0.85x sẵn có</t>
        </is>
      </c>
      <c r="G231" t="inlineStr">
        <is>
          <t>CV chốt đặt dự phóng cao hơn kế hoạch 5% (+11.5% CK), không phải ngang kế hoạch. Một bản trung gian đã hạ về đúng 8,100 (0.8845x) rồi hoàn lại. NPL 5.5%, CIR 40%, bao phủ 50.0% — tất cả giữ nguyên</t>
        </is>
      </c>
    </row>
    <row r="232">
      <c r="A232" t="inlineStr">
        <is>
          <t>C3</t>
        </is>
      </c>
      <c r="B232" t="inlineStr">
        <is>
          <t>Kế hoạch LNTT FY26 8,100 tỷ</t>
        </is>
      </c>
      <c r="C232" t="inlineStr">
        <is>
          <t>suy ra</t>
        </is>
      </c>
      <c r="D232" t="inlineStr">
        <is>
          <t>VNDbn</t>
        </is>
      </c>
      <c r="E232" t="inlineStr">
        <is>
          <t>CONFLICT</t>
        </is>
      </c>
      <c r="F232" t="inlineStr">
        <is>
          <t>Suy ra từ 4,136/51% theo trích dẫn báo chí "hoàn thành 51% mục tiêu"</t>
        </is>
      </c>
      <c r="G232" t="inlineStr">
        <is>
          <t>CHƯA CÓ NGHỊ QUYẾT ĐHĐCĐ TRONG HỒ SƠ. Nay con số này là mỏ neo của dự phóng LNTT nên cần lấy nguồn gốc trước khi phát hành. KH FY25 ~14,670 (7,628/52%) cũng suy ra tương tự</t>
        </is>
      </c>
    </row>
    <row r="233">
      <c r="A233" t="inlineStr">
        <is>
          <t>C4</t>
        </is>
      </c>
      <c r="B233" t="inlineStr">
        <is>
          <t>Slide ghi "ban lãnh đạo dự kiến ~5.6%" nợ xấu</t>
        </is>
      </c>
      <c r="C233" t="inlineStr">
        <is>
          <t>5.6%</t>
        </is>
      </c>
      <c r="D233" t="inlineStr">
        <is>
          <t>%</t>
        </is>
      </c>
      <c r="E233" t="inlineStr">
        <is>
          <t>CONFLICT</t>
        </is>
      </c>
      <c r="F233" t="inlineStr">
        <is>
          <t>Dòng 10 ghi 5.6% xuất hiện ở bản 24/07 dưới dạng "ước ~5.6%" — tức ước tính của MAS</t>
        </is>
      </c>
      <c r="G233" t="inlineStr">
        <is>
          <t>CHƯA SỬA — slide đang gán cho ban lãnh đạo. Nếu không có công bố của STB thì phải viết lại, đây là chỗ duy nhất trong khối STB có nguy cơ trình bày ước tính MAS như guidance</t>
        </is>
      </c>
    </row>
    <row r="234">
      <c r="A234" t="inlineStr">
        <is>
          <t>G17</t>
        </is>
      </c>
      <c r="B234" t="inlineStr">
        <is>
          <t>Tăng trưởng tín dụng FY26F 11.7% vs 1.5% thực hiện 1H26</t>
        </is>
      </c>
      <c r="E234" t="inlineStr">
        <is>
          <t>GAP</t>
        </is>
      </c>
      <c r="F234" t="inlineStr">
        <is>
          <t>Model!Y206 = 10.1%; slide ghi 11.7%</t>
        </is>
      </c>
      <c r="G234" t="inlineStr">
        <is>
          <t>CHƯA XỬ LÝ — CV đã cân nhắc dùng làm đòn bẩy đưa LNTT về kế hoạch nhưng chọn dự phòng. Dư nợ dựng từ dưới lên theo 6 phân khúc (Model!Y23:Y28) nên phải tính lại bằng Excel</t>
        </is>
      </c>
    </row>
    <row r="235">
      <c r="A235" t="inlineStr">
        <is>
          <t>G18</t>
        </is>
      </c>
      <c r="B235" t="inlineStr">
        <is>
          <t>Model chưa mở lại bằng Excel</t>
        </is>
      </c>
      <c r="E235" t="inlineStr">
        <is>
          <t>GAP</t>
        </is>
      </c>
      <c r="F235" t="inlineStr">
        <is>
          <t>fullCalcOnLoad=1 đã bật</t>
        </is>
      </c>
      <c r="G235" t="inlineStr">
        <is>
          <t>Toàn bộ số ở trên tính lại bằng Python theo đúng chuỗi công thức của model (fix_stb_model.cascade); cần mở Excel đối chiếu trước khi phát hành</t>
        </is>
      </c>
    </row>
    <row r="237">
      <c r="B237" s="13" t="inlineStr">
        <is>
          <t>STB — REVISION 04/08/2026: giữ bao phủ 50% -&gt; NPL 5.5%; CIR 40/38/36% FY26-28F</t>
        </is>
      </c>
    </row>
    <row r="238">
      <c r="A238" t="inlineStr">
        <is>
          <t>R1</t>
        </is>
      </c>
      <c r="B238" t="inlineStr">
        <is>
          <t>Dự phòng đã trích cuối Q2/2026</t>
        </is>
      </c>
      <c r="C238" t="inlineStr">
        <is>
          <t>27,177</t>
        </is>
      </c>
      <c r="D238" t="inlineStr">
        <is>
          <t>VNDbn</t>
        </is>
      </c>
      <c r="E238" t="inlineStr">
        <is>
          <t>MODEL</t>
        </is>
      </c>
      <c r="F238" t="inlineStr">
        <is>
          <t>FinModel_STB_2Q26 Model!CA cột quý 2Q26; FY25 20,056 + 7,119 trích 1H26</t>
        </is>
      </c>
      <c r="G238" t="inlineStr">
        <is>
          <t>Bao phủ 56.7% (27,177/47,957), tăng từ 50.0% cuối 2025 — gần như chưa xóa nợ trong 1H26</t>
        </is>
      </c>
    </row>
    <row r="239">
      <c r="A239" t="inlineStr">
        <is>
          <t>R2</t>
        </is>
      </c>
      <c r="B239" t="inlineStr">
        <is>
          <t>Xóa nợ FY26F</t>
        </is>
      </c>
      <c r="C239" t="inlineStr">
        <is>
          <t>11796</t>
        </is>
      </c>
      <c r="D239" t="inlineStr">
        <is>
          <t>VNDbn</t>
        </is>
      </c>
      <c r="E239" t="inlineStr">
        <is>
          <t>DERIVED</t>
        </is>
      </c>
      <c r="F239" t="inlineStr">
        <is>
          <t>Model!Y287 = -1.71% x dư nợ 689,832 (trước: -0.95%)</t>
        </is>
      </c>
      <c r="G239" t="inlineStr">
        <is>
          <t>Nghiệm của bài toán giữ bao phủ 50%; tương đương 37% dư nợ nhóm 5 (~32,000)</t>
        </is>
      </c>
    </row>
    <row r="240">
      <c r="A240" t="inlineStr">
        <is>
          <t>R3</t>
        </is>
      </c>
      <c r="B240" t="inlineStr">
        <is>
          <t>Tỷ lệ trích/xóa FY26F</t>
        </is>
      </c>
      <c r="C240" t="inlineStr">
        <is>
          <t>0.8802x</t>
        </is>
      </c>
      <c r="D240" t="inlineStr">
        <is>
          <t>x</t>
        </is>
      </c>
      <c r="E240" t="inlineStr">
        <is>
          <t>MAS</t>
        </is>
      </c>
      <c r="F240" t="inlineStr">
        <is>
          <t>Model!Y278 = -Y279*0.8802 (1.5x -&gt; 0.85x -&gt; 0.8802x)</t>
        </is>
      </c>
      <c r="G240" t="inlineStr">
        <is>
          <t>Xử lý nợ tài trợ từ nguồn dự phòng đã trích, không từ P&amp;L. Giữ 1.5x trên mức xóa nợ này là nguyên nhân làm LNTT sụt 64% mà CV đã bác</t>
        </is>
      </c>
    </row>
    <row r="241">
      <c r="A241" t="inlineStr">
        <is>
          <t>R4</t>
        </is>
      </c>
      <c r="B241" t="inlineStr">
        <is>
          <t>Dự phòng đã trích cuối FY26F / bao phủ</t>
        </is>
      </c>
      <c r="C241" t="inlineStr">
        <is>
          <t>19330 / 50.9%</t>
        </is>
      </c>
      <c r="D241" t="inlineStr">
        <is>
          <t>VNDbn / %</t>
        </is>
      </c>
      <c r="E241" t="inlineStr">
        <is>
          <t>DERIVED</t>
        </is>
      </c>
      <c r="F241" t="inlineStr">
        <is>
          <t>gen 4,665 + spec 14,309; NPL 5.5% x 689,832 = 37,941</t>
        </is>
      </c>
      <c r="G241" t="inlineStr">
        <is>
          <t>Đúng mục tiêu "giữ bao phủ 50%" của CV</t>
        </is>
      </c>
    </row>
    <row r="242">
      <c r="A242" t="inlineStr">
        <is>
          <t>R5</t>
        </is>
      </c>
      <c r="B242" t="inlineStr">
        <is>
          <t>NPL FY26F / FY27F / FY28F</t>
        </is>
      </c>
      <c r="C242" t="inlineStr">
        <is>
          <t>5.5 / 4.0 / 2.7</t>
        </is>
      </c>
      <c r="D242" t="inlineStr">
        <is>
          <t>%</t>
        </is>
      </c>
      <c r="E242" t="inlineStr">
        <is>
          <t>MAS</t>
        </is>
      </c>
      <c r="F242" t="inlineStr">
        <is>
          <t>NPL!N26=0.933 N27=0.012 N28=0.009 N29=0.012 N30=0.034 (tổng 1.000)</t>
        </is>
      </c>
      <c r="G242" t="inlineStr">
        <is>
          <t>Hàm ý nợ xấu phát sinh mới 2H26 = 1,780 tỷ, bằng 23% nhịp 1H26 (7,800) — khớp giả định "chậm lại còn 20% nhịp 1H" CV đưa ra trước đó</t>
        </is>
      </c>
    </row>
    <row r="243">
      <c r="A243" t="inlineStr">
        <is>
          <t>R6</t>
        </is>
      </c>
      <c r="B243" t="inlineStr">
        <is>
          <t>CIR FY26F / FY27F / FY28F</t>
        </is>
      </c>
      <c r="C243" t="inlineStr">
        <is>
          <t>40.0 / 38.0 / 36.0</t>
        </is>
      </c>
      <c r="D243" t="inlineStr">
        <is>
          <t>%</t>
        </is>
      </c>
      <c r="E243" t="inlineStr">
        <is>
          <t>MAS</t>
        </is>
      </c>
      <c r="F243" t="inlineStr">
        <is>
          <t>Model!Y132=X132*1 và Y134=X134*1 (lương và chi phí khác đi ngang so với FY25); Z132/Z134 = *1.015; AA132/AA134 = *1.106. Khấu hao Y133/Z133/AA133 giữ nguyên build cũ</t>
        </is>
      </c>
      <c r="G24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244">
      <c r="A244" t="inlineStr">
        <is>
          <t>R6b</t>
        </is>
      </c>
      <c r="B244" t="inlineStr">
        <is>
          <t>Ràng buộc của mục tiêu CIR 38% năm FY27F</t>
        </is>
      </c>
      <c r="C244" t="inlineStr">
        <is>
          <t>+1.5%</t>
        </is>
      </c>
      <c r="D244" t="inlineStr">
        <is>
          <t>% tăng opex</t>
        </is>
      </c>
      <c r="E244" t="inlineStr">
        <is>
          <t>GAP</t>
        </is>
      </c>
      <c r="F244" t="inlineStr">
        <is>
          <t>TOI FY27F +11.1% nhưng khấu hao Z133 = Y133*1.2 (+20%) theo build gốc</t>
        </is>
      </c>
      <c r="G24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245">
      <c r="A245" t="inlineStr">
        <is>
          <t>R7</t>
        </is>
      </c>
      <c r="B245" t="inlineStr">
        <is>
          <t>Opex 2H26 hàm ý</t>
        </is>
      </c>
      <c r="C245" t="inlineStr">
        <is>
          <t>6831</t>
        </is>
      </c>
      <c r="D245" t="inlineStr">
        <is>
          <t>VNDbn</t>
        </is>
      </c>
      <c r="E245" t="inlineStr">
        <is>
          <t>DERIVED</t>
        </is>
      </c>
      <c r="F245" t="inlineStr">
        <is>
          <t>FY26F 13065 - 1H26 thực tế 6,233</t>
        </is>
      </c>
      <c r="G245" t="inlineStr">
        <is>
          <t>+9.6% so với 1H26 — vẫn phản ánh tính mùa vụ dồn về cuối năm, không phải cắt giảm chi phí</t>
        </is>
      </c>
    </row>
    <row r="246">
      <c r="A246" t="inlineStr">
        <is>
          <t>R8</t>
        </is>
      </c>
      <c r="B246" t="inlineStr">
        <is>
          <t>LNTT / LNST FY26F</t>
        </is>
      </c>
      <c r="C246" t="inlineStr">
        <is>
          <t>8151 / 6346</t>
        </is>
      </c>
      <c r="D246" t="inlineStr">
        <is>
          <t>VNDbn</t>
        </is>
      </c>
      <c r="E246" t="inlineStr">
        <is>
          <t>DERIVED</t>
        </is>
      </c>
      <c r="F246" t="inlineStr">
        <is>
          <t>TOI 32,956 - opex 13065 - dự phòng 11447</t>
        </is>
      </c>
      <c r="G246" t="inlineStr">
        <is>
          <t>+6.9% CK. Hàm ý LNTT 2H26 4015 tỷ = 14x nền 2H25 (297 tỷ) và +-2.9% so với 1H26</t>
        </is>
      </c>
    </row>
    <row r="247">
      <c r="A247" t="inlineStr">
        <is>
          <t>R9</t>
        </is>
      </c>
      <c r="B247" t="inlineStr">
        <is>
          <t>Dự phòng P&amp;L FY26F</t>
        </is>
      </c>
      <c r="C247" t="inlineStr">
        <is>
          <t>11447</t>
        </is>
      </c>
      <c r="D247" t="inlineStr">
        <is>
          <t>VNDbn</t>
        </is>
      </c>
      <c r="E247" t="inlineStr">
        <is>
          <t>DERIVED</t>
        </is>
      </c>
      <c r="F247" t="inlineStr">
        <is>
          <t>chung 687 + cụ thể 10,027 + VAMC 377</t>
        </is>
      </c>
      <c r="G247" t="inlineStr">
        <is>
          <t>-2.6% CK so với 11,384 của FY25; gần như không đổi so với 10,889 của bản trước</t>
        </is>
      </c>
    </row>
    <row r="248">
      <c r="A248" t="inlineStr">
        <is>
          <t>C1</t>
        </is>
      </c>
      <c r="B248" t="inlineStr">
        <is>
          <t>Model!X284 dự phòng cụ thể đầu kỳ</t>
        </is>
      </c>
      <c r="C248" t="inlineStr">
        <is>
          <t>4,891 -&gt; 16,078</t>
        </is>
      </c>
      <c r="D248" t="inlineStr">
        <is>
          <t>VNDbn</t>
        </is>
      </c>
      <c r="E248" t="inlineStr">
        <is>
          <t>CONFLICT</t>
        </is>
      </c>
      <c r="F248" t="inlineStr">
        <is>
          <t>Model!X264 (BCĐKT FY25) = 20,056 nhưng bảng chuyển động X274+X284 chỉ 8,869</t>
        </is>
      </c>
      <c r="G248" t="inlineStr">
        <is>
          <t>Lỗi có sẵn trong model: mọi tỷ lệ bao phủ dự phóng trước đây đều vô nghĩa. Đã sửa để X274+X284 = 20,056</t>
        </is>
      </c>
    </row>
    <row r="249">
      <c r="A249" t="inlineStr">
        <is>
          <t>G14</t>
        </is>
      </c>
      <c r="B249" t="inlineStr">
        <is>
          <t>Cân đối kế toán sau khi sửa X284</t>
        </is>
      </c>
      <c r="C249" t="inlineStr">
        <is>
          <t>0</t>
        </is>
      </c>
      <c r="D249" t="inlineStr">
        <is>
          <t>VNDbn</t>
        </is>
      </c>
      <c r="E249" t="inlineStr">
        <is>
          <t>MODEL</t>
        </is>
      </c>
      <c r="F249" t="inlineStr">
        <is>
          <t>Model!Y103 = 0 sau khi CV mở lại bằng Excel (bản 2b63c432)</t>
        </is>
      </c>
      <c r="G249" t="inlineStr">
        <is>
          <t>ĐÃ ĐÓNG — cảnh báo lệch -6,755 tỷ của tôi là SAI. Model tự cân đối; tổng tài sản Y61 = 1,014,277 (không phải 1,007,118 tôi ước tính)</t>
        </is>
      </c>
    </row>
    <row r="250">
      <c r="A250" t="inlineStr">
        <is>
          <t>R10</t>
        </is>
      </c>
      <c r="B250" t="inlineStr">
        <is>
          <t>Đối chiếu sau khi Excel tính lại</t>
        </is>
      </c>
      <c r="C250" t="inlineStr">
        <is>
          <t>khớp</t>
        </is>
      </c>
      <c r="E250" t="inlineStr">
        <is>
          <t>MODEL</t>
        </is>
      </c>
      <c r="F250" t="inlineStr">
        <is>
          <t>bản 2b63c432 do CV mở lại bằng Excel</t>
        </is>
      </c>
      <c r="G250" t="inlineStr">
        <is>
          <t>Opex Y135 13,182/13,913/15,367 khớp tuyệt đối; dự phòng Y254 11,091 khớp; dự phòng đã trích Y286 18,973 và bao phủ 50.0% khớp tuyệt đối</t>
        </is>
      </c>
    </row>
    <row r="251">
      <c r="A251" t="inlineStr">
        <is>
          <t>C2</t>
        </is>
      </c>
      <c r="B251" t="inlineStr">
        <is>
          <t>TOI dịch chuyển khi Excel tính lại</t>
        </is>
      </c>
      <c r="C251" t="inlineStr">
        <is>
          <t>32,662 vs 32,956</t>
        </is>
      </c>
      <c r="D251" t="inlineStr">
        <is>
          <t>VNDbn</t>
        </is>
      </c>
      <c r="E251" t="inlineStr">
        <is>
          <t>CONFLICT</t>
        </is>
      </c>
      <c r="F251" t="inlineStr">
        <is>
          <t>Model!Y117 = NII + phí + thu nhập khác</t>
        </is>
      </c>
      <c r="G251" t="inlineStr">
        <is>
          <t>Dự phòng đã trích lớn hơn làm cho vay thuần giảm -&gt; thu nhập lãi giảm. NII FY26F về 26,712 (+0.1% CK) từ 27,010. Hệ quả CIR trôi lên 40.36/37.66/36.48%, đã giải lại hệ số nhân opex về 0.9886/1.039/1.0739 để đúng 40/38/36%</t>
        </is>
      </c>
    </row>
    <row r="252">
      <c r="A252" t="inlineStr">
        <is>
          <t>N1</t>
        </is>
      </c>
      <c r="B252" t="inlineStr">
        <is>
          <t>NPL!DG6:DG11 cột 2Q26</t>
        </is>
      </c>
      <c r="C252" t="inlineStr">
        <is>
          <t>BY -&gt; BX</t>
        </is>
      </c>
      <c r="E252" t="inlineStr">
        <is>
          <t>MAS</t>
        </is>
      </c>
      <c r="F252" t="inlineStr">
        <is>
          <t>trỏ sang 'Notes(Quarter)'!BX81:BX86 (cột chèn thêm đẩy dữ liệu sang BX, BW là cột nhãn)</t>
        </is>
      </c>
      <c r="G252" t="inlineStr">
        <is>
          <t>Tổng 636,029; nhóm 1-5: 571,245 / 16,827 / 7,200 / 8,483 / 32,274. NPL 47,957 = 7.540% — khớp tuyệt đối con số trên slide</t>
        </is>
      </c>
    </row>
    <row r="253">
      <c r="A253" t="inlineStr">
        <is>
          <t>G19</t>
        </is>
      </c>
      <c r="B253" t="inlineStr">
        <is>
          <t>NPL hàng 19-21 lệch một dòng ở khối theo quý</t>
        </is>
      </c>
      <c r="E253" t="inlineStr">
        <is>
          <t>GAP</t>
        </is>
      </c>
      <c r="F253" t="inlineStr">
        <is>
          <t>DF19 = DF8/DF$22 (nợ nhóm 2 / nợ xấu) trong khi nhãn ghi "3) Substandard"</t>
        </is>
      </c>
      <c r="G253" t="inlineStr">
        <is>
          <t>CHƯA SỬA — lỗi có sẵn ở MỌI cột quý, không riêng 2Q26; hàng 19-21 cộng lại không bằng 100%. Không ảnh hưởng tỷ lệ NPL (hàng 23) vì hàng 22 = SUM(9:11) vẫn đúng. Sửa riêng cột DG sẽ phá nhóm shared formula</t>
        </is>
      </c>
    </row>
    <row r="254">
      <c r="A254" t="inlineStr">
        <is>
          <t>G15</t>
        </is>
      </c>
      <c r="B254" t="inlineStr">
        <is>
          <t>Giá mục tiêu vs sheet Valuation</t>
        </is>
      </c>
      <c r="C254" t="inlineStr">
        <is>
          <t>77,800 vs 65,600</t>
        </is>
      </c>
      <c r="D254" t="inlineStr">
        <is>
          <t>VND</t>
        </is>
      </c>
      <c r="E254" t="inlineStr">
        <is>
          <t>CONFLICT</t>
        </is>
      </c>
      <c r="F254" t="inlineStr">
        <is>
          <t>Valuation!B1 = J16 = P/B hợp lý FY27F x BPS FY27F</t>
        </is>
      </c>
      <c r="G254" t="inlineStr">
        <is>
          <t>Sheet Valuation cho 56,100 trước điều chỉnh và ~65,600 sau (ROE bền vững FY27F lên 15.5%, BPS 37,822). Slide vẫn để 77,800 — CHƯA ĐỊNH GIÁ LẠI, cần CV quyết</t>
        </is>
      </c>
    </row>
    <row r="255">
      <c r="A255" t="inlineStr">
        <is>
          <t>G16</t>
        </is>
      </c>
      <c r="B255" t="inlineStr">
        <is>
          <t>Giá mục tiêu ghi 77,500 trong file stock pick</t>
        </is>
      </c>
      <c r="C255" t="inlineStr">
        <is>
          <t>77,500 vs 77,800</t>
        </is>
      </c>
      <c r="D255" t="inlineStr">
        <is>
          <t>VND</t>
        </is>
      </c>
      <c r="E255" t="inlineStr">
        <is>
          <t>CONFLICT</t>
        </is>
      </c>
      <c r="F255" t="inlineStr">
        <is>
          <t>Stock Pick!D6 và Target Price!C13 ghi 77,500; cột J6/L6 lại tính trên 77,800</t>
        </is>
      </c>
      <c r="G255" t="inlineStr">
        <is>
          <t>CHƯA SỬA — chênh 0.4%, cần CV xác nhận số nào đúng</t>
        </is>
      </c>
    </row>
    <row r="256">
      <c r="A256" t="inlineStr">
        <is>
          <t>R11</t>
        </is>
      </c>
      <c r="B256" t="inlineStr">
        <is>
          <t>LNTT FY26F chốt cứng</t>
        </is>
      </c>
      <c r="C256" t="inlineStr">
        <is>
          <t>8,150</t>
        </is>
      </c>
      <c r="D256" t="inlineStr">
        <is>
          <t>VNDbn</t>
        </is>
      </c>
      <c r="E256" t="inlineStr">
        <is>
          <t>MAS</t>
        </is>
      </c>
      <c r="F256" t="inlineStr">
        <is>
          <t>Model!Y278 = 0.8802x; dự phòng 11,091 -&gt; 11,447 (+0.6% CK)</t>
        </is>
      </c>
      <c r="G256" t="inlineStr">
        <is>
          <t>CV chốt 8,150 tỷ (+6.9% CK, nhỉnh hơn kế hoạch 8,100 0.6%). Phần chênh lấy từ chi phí dự phòng, không đụng NPL 5.5% hay CIR 40%. Bao phủ 50.0% -&gt; 51.0%. Các bản trung gian đã thử 8,100 (0.8845x) và 8,507 = KH +5% (0.85x)</t>
        </is>
      </c>
    </row>
    <row r="257">
      <c r="A257" t="inlineStr">
        <is>
          <t>C3</t>
        </is>
      </c>
      <c r="B257" t="inlineStr">
        <is>
          <t>Kế hoạch LNTT FY26 8,100 tỷ</t>
        </is>
      </c>
      <c r="C257" t="inlineStr">
        <is>
          <t>suy ra</t>
        </is>
      </c>
      <c r="D257" t="inlineStr">
        <is>
          <t>VNDbn</t>
        </is>
      </c>
      <c r="E257" t="inlineStr">
        <is>
          <t>CONFLICT</t>
        </is>
      </c>
      <c r="F257" t="inlineStr">
        <is>
          <t>Suy ra từ 4,136/51% theo trích dẫn báo chí "hoàn thành 51% mục tiêu"</t>
        </is>
      </c>
      <c r="G257" t="inlineStr">
        <is>
          <t>CHƯA CÓ NGHỊ QUYẾT ĐHĐCĐ TRONG HỒ SƠ. Nay con số này là mỏ neo của dự phóng LNTT nên cần lấy nguồn gốc trước khi phát hành. KH FY25 ~14,670 (7,628/52%) cũng suy ra tương tự</t>
        </is>
      </c>
    </row>
    <row r="258">
      <c r="A258" t="inlineStr">
        <is>
          <t>C4</t>
        </is>
      </c>
      <c r="B258" t="inlineStr">
        <is>
          <t>Slide ghi "ban lãnh đạo dự kiến ~5.6%" nợ xấu</t>
        </is>
      </c>
      <c r="C258" t="inlineStr">
        <is>
          <t>5.6%</t>
        </is>
      </c>
      <c r="D258" t="inlineStr">
        <is>
          <t>%</t>
        </is>
      </c>
      <c r="E258" t="inlineStr">
        <is>
          <t>CONFLICT</t>
        </is>
      </c>
      <c r="F258" t="inlineStr">
        <is>
          <t>Dòng 10 ghi 5.6% xuất hiện ở bản 24/07 dưới dạng "ước ~5.6%" — tức ước tính của MAS</t>
        </is>
      </c>
      <c r="G258" t="inlineStr">
        <is>
          <t>CHƯA SỬA — slide đang gán cho ban lãnh đạo. Nếu không có công bố của STB thì phải viết lại, đây là chỗ duy nhất trong khối STB có nguy cơ trình bày ước tính MAS như guidance</t>
        </is>
      </c>
    </row>
    <row r="259">
      <c r="A259" t="inlineStr">
        <is>
          <t>G17</t>
        </is>
      </c>
      <c r="B259" t="inlineStr">
        <is>
          <t>Tăng trưởng tín dụng FY26F 11.7% vs 1.5% thực hiện 1H26</t>
        </is>
      </c>
      <c r="E259" t="inlineStr">
        <is>
          <t>GAP</t>
        </is>
      </c>
      <c r="F259" t="inlineStr">
        <is>
          <t>Model!Y206 = 10.1%; slide ghi 11.7%</t>
        </is>
      </c>
      <c r="G259" t="inlineStr">
        <is>
          <t>CHƯA XỬ LÝ — CV đã cân nhắc dùng làm đòn bẩy đưa LNTT về kế hoạch nhưng chọn dự phòng. Dư nợ dựng từ dưới lên theo 6 phân khúc (Model!Y23:Y28) nên phải tính lại bằng Excel</t>
        </is>
      </c>
    </row>
    <row r="260">
      <c r="A260" t="inlineStr">
        <is>
          <t>G18</t>
        </is>
      </c>
      <c r="B260" t="inlineStr">
        <is>
          <t>Model chưa mở lại bằng Excel</t>
        </is>
      </c>
      <c r="E260" t="inlineStr">
        <is>
          <t>GAP</t>
        </is>
      </c>
      <c r="F260" t="inlineStr">
        <is>
          <t>fullCalcOnLoad=1 đã bật</t>
        </is>
      </c>
      <c r="G260" t="inlineStr">
        <is>
          <t>Toàn bộ số ở trên tính lại bằng Python theo đúng chuỗi công thức của model (fix_stb_model.cascade); cần mở Excel đối chiếu trước khi phát hành</t>
        </is>
      </c>
    </row>
    <row r="262">
      <c r="B262" s="13" t="inlineStr">
        <is>
          <t>STB + FPT — REVISION 04/08/2026 (bản deck August2026)</t>
        </is>
      </c>
    </row>
    <row r="263">
      <c r="A263" t="inlineStr">
        <is>
          <t>A1</t>
        </is>
      </c>
      <c r="B263" t="inlineStr">
        <is>
          <t>Nguồn số liệu STB</t>
        </is>
      </c>
      <c r="C263" t="inlineStr">
        <is>
          <t>model đã tính lại</t>
        </is>
      </c>
      <c r="E263" t="inlineStr">
        <is>
          <t>MODEL</t>
        </is>
      </c>
      <c r="F263" t="inlineStr">
        <is>
          <t>8ce85368-FinModel_STB_2Q26.xlsx do CV mở bằng Excel</t>
        </is>
      </c>
      <c r="G263" t="inlineStr">
        <is>
          <t>Mọi số STB trên slide đọc thẳng từ file này (update_aug_deck.py), không gõ lại</t>
        </is>
      </c>
    </row>
    <row r="264">
      <c r="A264" t="inlineStr">
        <is>
          <t>A2</t>
        </is>
      </c>
      <c r="B264" t="inlineStr">
        <is>
          <t>CV hạ tỷ lệ xóa nợ FY27F / FY28F</t>
        </is>
      </c>
      <c r="C264" t="inlineStr">
        <is>
          <t>-1.2% / -0.7%</t>
        </is>
      </c>
      <c r="D264" t="inlineStr">
        <is>
          <t>% dư nợ</t>
        </is>
      </c>
      <c r="E264" t="inlineStr">
        <is>
          <t>MAS</t>
        </is>
      </c>
      <c r="F264" t="inlineStr">
        <is>
          <t>Model!Z287 (từ -0.9%), AA287 (từ -0.5%)</t>
        </is>
      </c>
      <c r="G264" t="inlineStr">
        <is>
          <t>Dự phòng FY27F 8,229 -&gt; 10,595 và FY28F 5,816 -&gt; 7,628. LNTT FY27F 14,676 -&gt; 12,293, FY28F 21,145 -&gt; 20,064. Tỷ lệ trích/xóa vẫn 1.0x nên dự phòng đã trích không đổi</t>
        </is>
      </c>
    </row>
    <row r="265">
      <c r="A265" t="inlineStr">
        <is>
          <t>A3</t>
        </is>
      </c>
      <c r="B265" t="inlineStr">
        <is>
          <t>LNTT / LNST FY26F</t>
        </is>
      </c>
      <c r="C265" t="inlineStr">
        <is>
          <t>8143 / 6340</t>
        </is>
      </c>
      <c r="D265" t="inlineStr">
        <is>
          <t>VNDbn</t>
        </is>
      </c>
      <c r="E265" t="inlineStr">
        <is>
          <t>MODEL</t>
        </is>
      </c>
      <c r="F265" t="inlineStr">
        <is>
          <t>Model!Y144 / Y153</t>
        </is>
      </c>
      <c r="G265" t="inlineStr">
        <is>
          <t>+6.7% CK. Mục tiêu đặt là 8,150; Excel ra 8143 — lệch 7 tỷ do vòng phản hồi lợi nhuận -&gt; vốn chủ -&gt; tài sản -&gt; thu nhập lãi. Lấy số của model</t>
        </is>
      </c>
    </row>
    <row r="266">
      <c r="A266" t="inlineStr">
        <is>
          <t>A4</t>
        </is>
      </c>
      <c r="B266" t="inlineStr">
        <is>
          <t>CIR FY26F / FY27F / FY28F</t>
        </is>
      </c>
      <c r="C266" t="inlineStr">
        <is>
          <t>40.0 / 38.0 / 35.4</t>
        </is>
      </c>
      <c r="D266" t="inlineStr">
        <is>
          <t>%</t>
        </is>
      </c>
      <c r="E266" t="inlineStr">
        <is>
          <t>MODEL</t>
        </is>
      </c>
      <c r="F266" t="inlineStr">
        <is>
          <t>Model!Y135 / (Y136+Y135)</t>
        </is>
      </c>
      <c r="G266" t="inlineStr">
        <is>
          <t>FY26F và FY27F đúng mục tiêu 40/38%. FY28F ra 35.4% thay vì 36% do TOI tăng (42,858 vs 42,126 khi giải hệ số). CHƯA GIẢI LẠI — chờ CV quyết</t>
        </is>
      </c>
    </row>
    <row r="267">
      <c r="A267" t="inlineStr">
        <is>
          <t>A5</t>
        </is>
      </c>
      <c r="B267" t="inlineStr">
        <is>
          <t>Giá mục tiêu STB</t>
        </is>
      </c>
      <c r="C267" t="inlineStr">
        <is>
          <t>81,400</t>
        </is>
      </c>
      <c r="D267" t="inlineStr">
        <is>
          <t>VND</t>
        </is>
      </c>
      <c r="E267" t="inlineStr">
        <is>
          <t>MAS</t>
        </is>
      </c>
      <c r="F267" t="inlineStr">
        <is>
          <t>Ô khuyến nghị slide 0/1 do CV đặt (từ 77,800)</t>
        </is>
      </c>
      <c r="G267" t="inlineStr">
        <is>
          <t>Thị giá 74,100 (04/08/26) -&gt; lợi nhuận kỳ vọng 10%. P/E và P/B toàn bộ bảng FY tính lại trên giá này, gồm cả các năm quá khứ vì hàng này vốn dựng theo giá mục tiêu</t>
        </is>
      </c>
    </row>
    <row r="268">
      <c r="A268" t="inlineStr">
        <is>
          <t>A6</t>
        </is>
      </c>
      <c r="B268" t="inlineStr">
        <is>
          <t>Bao phủ FY26F</t>
        </is>
      </c>
      <c r="C268" t="inlineStr">
        <is>
          <t>50.9%</t>
        </is>
      </c>
      <c r="D268" t="inlineStr">
        <is>
          <t>%</t>
        </is>
      </c>
      <c r="E268" t="inlineStr">
        <is>
          <t>DERIVED</t>
        </is>
      </c>
      <c r="F268" t="inlineStr">
        <is>
          <t>Model!Y286 19330 / NPL 37,941</t>
        </is>
      </c>
      <c r="G268" t="inlineStr">
        <is>
          <t>Trích thêm 2H26 4.3 nghìn tỷ (dự phòng cả năm 11447 - 1H26 7,119)</t>
        </is>
      </c>
    </row>
    <row r="269">
      <c r="A269" t="inlineStr">
        <is>
          <t>A7</t>
        </is>
      </c>
      <c r="B269" t="inlineStr">
        <is>
          <t>Tăng trưởng EPS 26F trên ô tóm tắt</t>
        </is>
      </c>
      <c r="C269" t="inlineStr">
        <is>
          <t>6.7</t>
        </is>
      </c>
      <c r="D269" t="inlineStr">
        <is>
          <t>%</t>
        </is>
      </c>
      <c r="E269" t="inlineStr">
        <is>
          <t>DERIVED</t>
        </is>
      </c>
      <c r="F269" t="inlineStr">
        <is>
          <t>EPS 26F 3077 / EPS 25 2,883</t>
        </is>
      </c>
      <c r="G269" t="inlineStr">
        <is>
          <t>ĐÃ SỬA từ 10.8 mà CV điền — con số đó không khớp bất kỳ dòng nào của model</t>
        </is>
      </c>
    </row>
    <row r="270">
      <c r="A270" t="inlineStr">
        <is>
          <t>F1</t>
        </is>
      </c>
      <c r="B270" t="inlineStr">
        <is>
          <t>FPT: hàng P/E đưa hết về giá mục tiêu</t>
        </is>
      </c>
      <c r="C270" t="inlineStr">
        <is>
          <t>18.9/18.0/17.3</t>
        </is>
      </c>
      <c r="D270" t="inlineStr">
        <is>
          <t>x</t>
        </is>
      </c>
      <c r="E270" t="inlineStr">
        <is>
          <t>MAS</t>
        </is>
      </c>
      <c r="F270" t="inlineStr">
        <is>
          <t>Giá mục tiêu 87,950 chia EPS từng năm</t>
        </is>
      </c>
      <c r="G270" t="inlineStr">
        <is>
          <t>Trước đây FY23-25 tính theo giá từng năm (19.7/18.8/18.1) còn FY26F-28F đã theo giá mục tiêu — hàng này lẫn hai cách. Nay thống nhất, giống cách dựng của STB</t>
        </is>
      </c>
    </row>
    <row r="271">
      <c r="A271" t="inlineStr">
        <is>
          <t>F2</t>
        </is>
      </c>
      <c r="B271" t="inlineStr">
        <is>
          <t>FPT: hàng P/B vẫn lẫn hai cách</t>
        </is>
      </c>
      <c r="C271" t="inlineStr">
        <is>
          <t>4.7/4.5/4.3</t>
        </is>
      </c>
      <c r="D271" t="inlineStr">
        <is>
          <t>x</t>
        </is>
      </c>
      <c r="E271" t="inlineStr">
        <is>
          <t>GAP</t>
        </is>
      </c>
      <c r="F271" t="inlineStr">
        <is>
          <t>FY23-25 theo giá từng năm; FY26F-28F theo giá mục tiêu (87,950/25,116 = 3.5)</t>
        </is>
      </c>
      <c r="G271" t="inlineStr">
        <is>
          <t>CHƯA SỬA — CV chỉ yêu cầu P/E. Lỗi hoàn toàn tương tự, sửa hay không tùy CV</t>
        </is>
      </c>
    </row>
    <row r="272">
      <c r="A272" t="inlineStr">
        <is>
          <t>G20</t>
        </is>
      </c>
      <c r="B272" t="inlineStr">
        <is>
          <t>Model!AA117 thiếu dòng NII</t>
        </is>
      </c>
      <c r="E272" t="inlineStr">
        <is>
          <t>GAP</t>
        </is>
      </c>
      <c r="F272" t="inlineStr">
        <is>
          <t>AA117 = +AA124+AA131 trong khi Y117/Z117 = Y121+Y124+Y131</t>
        </is>
      </c>
      <c r="G272" t="inlineStr">
        <is>
          <t>Lỗi có sẵn: ô TOI cột FY28F bỏ mất thu nhập lãi thuần, ra 8,779 thay vì 42,858. Chỉ là ô hiển thị, không có gì phía sau đọc nó, nhưng nên sửa</t>
        </is>
      </c>
    </row>
    <row r="273">
      <c r="A273" t="inlineStr">
        <is>
          <t>C3</t>
        </is>
      </c>
      <c r="B273" t="inlineStr">
        <is>
          <t>Kế hoạch LNTT FY26 8,100 tỷ</t>
        </is>
      </c>
      <c r="C273" t="inlineStr">
        <is>
          <t>suy ra</t>
        </is>
      </c>
      <c r="D273" t="inlineStr">
        <is>
          <t>VNDbn</t>
        </is>
      </c>
      <c r="E273" t="inlineStr">
        <is>
          <t>CONFLICT</t>
        </is>
      </c>
      <c r="F273" t="inlineStr">
        <is>
          <t>Suy ra từ 4,136/51% theo trích dẫn báo chí "hoàn thành 51% mục tiêu"</t>
        </is>
      </c>
      <c r="G273" t="inlineStr">
        <is>
          <t>CHƯA CÓ NGHỊ QUYẾT ĐHĐCĐ TRONG HỒ SƠ. Slide đang neo dự phóng vào con số này</t>
        </is>
      </c>
    </row>
    <row r="274">
      <c r="A274" t="inlineStr">
        <is>
          <t>C4</t>
        </is>
      </c>
      <c r="B274" t="inlineStr">
        <is>
          <t>Slide ghi "ban lãnh đạo dự kiến ~5.6%" nợ xấu</t>
        </is>
      </c>
      <c r="C274" t="inlineStr">
        <is>
          <t>5.6%</t>
        </is>
      </c>
      <c r="D274" t="inlineStr">
        <is>
          <t>%</t>
        </is>
      </c>
      <c r="E274" t="inlineStr">
        <is>
          <t>CONFLICT</t>
        </is>
      </c>
      <c r="F274" t="inlineStr">
        <is>
          <t>Dòng 10 ghi 5.6% xuất hiện ở bản 24/07 dưới dạng "ước ~5.6%" — ước tính của MAS</t>
        </is>
      </c>
      <c r="G274" t="inlineStr">
        <is>
          <t>CHƯA SỬA — nếu không có công bố của STB thì phải viết lại</t>
        </is>
      </c>
    </row>
    <row r="275">
      <c r="A275" t="inlineStr">
        <is>
          <t>G15</t>
        </is>
      </c>
      <c r="B275" t="inlineStr">
        <is>
          <t>Giá mục tiêu STB vs sheet Valuation</t>
        </is>
      </c>
      <c r="C275" t="inlineStr">
        <is>
          <t>81,400 vs ~65,600</t>
        </is>
      </c>
      <c r="D275" t="inlineStr">
        <is>
          <t>VND</t>
        </is>
      </c>
      <c r="E275" t="inlineStr">
        <is>
          <t>CONFLICT</t>
        </is>
      </c>
      <c r="F275" t="inlineStr">
        <is>
          <t>Valuation!B1 = P/B hợp lý FY27F x BPS FY27F</t>
        </is>
      </c>
      <c r="G275" t="inlineStr">
        <is>
          <t>Khoảng cách nới rộng thêm khi giá mục tiêu lên 81,400 — CHƯA ĐỊNH GIÁ LẠI</t>
        </is>
      </c>
    </row>
    <row r="276">
      <c r="A276" t="inlineStr">
        <is>
          <t>G16</t>
        </is>
      </c>
      <c r="B276" t="inlineStr">
        <is>
          <t>Giá mục tiêu ghi 77,500 trong file stock pick</t>
        </is>
      </c>
      <c r="C276" t="inlineStr">
        <is>
          <t>77,500</t>
        </is>
      </c>
      <c r="D276" t="inlineStr">
        <is>
          <t>VND</t>
        </is>
      </c>
      <c r="E276" t="inlineStr">
        <is>
          <t>CONFLICT</t>
        </is>
      </c>
      <c r="F276" t="inlineStr">
        <is>
          <t>Stock Pick!D6 và Target Price!C13 vẫn ghi 77,500</t>
        </is>
      </c>
      <c r="G276" t="inlineStr">
        <is>
          <t>CHƯA SỬA — nay lệch 3,900đ so với 81,400 trên slide, cần CV xác nhận</t>
        </is>
      </c>
    </row>
    <row r="277">
      <c r="A277" t="inlineStr">
        <is>
          <t>G17</t>
        </is>
      </c>
      <c r="B277" t="inlineStr">
        <is>
          <t>Tăng trưởng tín dụng FY26F vs 1.5% thực hiện 1H26</t>
        </is>
      </c>
      <c r="E277" t="inlineStr">
        <is>
          <t>GAP</t>
        </is>
      </c>
      <c r="F277" t="inlineStr">
        <is>
          <t>Model!Y206 = 10.1%; slide ghi 11.7%</t>
        </is>
      </c>
      <c r="G277" t="inlineStr">
        <is>
          <t>CHƯA XỬ LÝ</t>
        </is>
      </c>
    </row>
    <row r="278">
      <c r="A278" t="inlineStr">
        <is>
          <t>G19</t>
        </is>
      </c>
      <c r="B278" t="inlineStr">
        <is>
          <t>NPL hàng 19-21 lệch một dòng ở khối theo quý</t>
        </is>
      </c>
      <c r="E278" t="inlineStr">
        <is>
          <t>GAP</t>
        </is>
      </c>
      <c r="F278" t="inlineStr">
        <is>
          <t>DF19/DG19 = nợ nhóm 2 / nợ xấu trong khi nhãn ghi "3) Substandard"</t>
        </is>
      </c>
      <c r="G278" t="inlineStr">
        <is>
          <t>CHƯA SỬA — lỗi ở mọi cột quý. Không ảnh hưởng tỷ lệ NPL hàng 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9"/>
  <sheetViews>
    <sheetView workbookViewId="0">
      <selection activeCell="A1" sqref="A1"/>
    </sheetView>
  </sheetViews>
  <sheetFormatPr baseColWidth="8" defaultRowHeight="15"/>
  <cols>
    <col width="54" customWidth="1" min="1" max="1"/>
    <col width="30" customWidth="1" min="2" max="2"/>
    <col width="26" customWidth="1" min="3" max="3"/>
    <col width="24" customWidth="1" min="4" max="4"/>
    <col width="22" customWidth="1" min="5" max="5"/>
  </cols>
  <sheetData>
    <row r="1">
      <c r="A1" t="inlineStr">
        <is>
          <t>FPT — ĐỐI CHIẾU CHÉO DỰ PHÓNG FY26F (4 hướng độc lập)</t>
        </is>
      </c>
      <c r="B1" s="5" t="n"/>
    </row>
    <row r="2">
      <c r="A2" t="inlineStr">
        <is>
          <t>Hướng dựng</t>
        </is>
      </c>
      <c r="B2" s="5" t="inlineStr">
        <is>
          <t>FY26F (tỷ đồng)</t>
        </is>
      </c>
      <c r="C2" t="inlineStr">
        <is>
          <t>Tăng trưởng</t>
        </is>
      </c>
      <c r="D2" t="inlineStr">
        <is>
          <t>Lệch so với số dùng</t>
        </is>
      </c>
    </row>
    <row r="3">
      <c r="A3" s="6" t="inlineStr">
        <is>
          <t>1. Mùa vụ trên LNST-CĐTS (1H26 5,055 ÷ 46.8%)</t>
        </is>
      </c>
      <c r="B3" s="6" t="inlineStr">
        <is>
          <t>10,808</t>
        </is>
      </c>
      <c r="C3" s="6" t="inlineStr">
        <is>
          <t>+14.2%</t>
        </is>
      </c>
      <c r="D3" s="6" t="inlineStr">
        <is>
          <t>-0.4%</t>
        </is>
      </c>
    </row>
    <row r="4">
      <c r="A4" s="6" t="inlineStr">
        <is>
          <t>2. Mùa vụ trên LNTT (5,714 ÷ 46.8% = 12,217) rồi quy về LNST-CĐTS</t>
        </is>
      </c>
      <c r="B4" s="6" t="inlineStr">
        <is>
          <t>10,809</t>
        </is>
      </c>
      <c r="C4" s="6" t="inlineStr">
        <is>
          <t>+14.2%</t>
        </is>
      </c>
      <c r="D4" s="6" t="inlineStr">
        <is>
          <t>-0.4%</t>
        </is>
      </c>
    </row>
    <row r="5">
      <c r="A5" s="6" t="inlineStr">
        <is>
          <t>3. Doanh thu từng mảng x biên LNTT thực tế 1H26</t>
        </is>
      </c>
      <c r="B5" s="6" t="inlineStr">
        <is>
          <t>10,875</t>
        </is>
      </c>
      <c r="C5" s="6" t="inlineStr">
        <is>
          <t>+14.9%</t>
        </is>
      </c>
      <c r="D5" s="6" t="inlineStr">
        <is>
          <t>+0.2%</t>
        </is>
      </c>
    </row>
    <row r="6">
      <c r="A6" s="6" t="inlineStr">
        <is>
          <t>4. Khối hoạt động của model + phần FOX (không tính LK khác)</t>
        </is>
      </c>
      <c r="B6" s="6" t="inlineStr">
        <is>
          <t>10,774</t>
        </is>
      </c>
      <c r="C6" s="6" t="inlineStr">
        <is>
          <t>+13.8%</t>
        </is>
      </c>
      <c r="D6" s="6" t="inlineStr">
        <is>
          <t>-0.7%</t>
        </is>
      </c>
    </row>
    <row r="7">
      <c r="A7" s="6" t="inlineStr">
        <is>
          <t>SỐ ĐANG DÙNG</t>
        </is>
      </c>
      <c r="B7" s="6" t="inlineStr">
        <is>
          <t>10,848</t>
        </is>
      </c>
      <c r="C7" s="6" t="inlineStr">
        <is>
          <t>+14.6%</t>
        </is>
      </c>
      <c r="D7" s="6" t="inlineStr">
        <is>
          <t>giữa dải</t>
        </is>
      </c>
    </row>
    <row r="8">
      <c r="A8" s="6" t="inlineStr">
        <is>
          <t>Biên độ 4 hướng</t>
        </is>
      </c>
      <c r="B8" s="6" t="inlineStr">
        <is>
          <t>10,774 - 10,875 (rộng 0.9%)</t>
        </is>
      </c>
      <c r="C8" s="6" t="n"/>
      <c r="D8" s="6" t="inlineStr">
        <is>
          <t>CHECK</t>
        </is>
      </c>
    </row>
    <row r="9">
      <c r="A9" s="6" t="inlineStr">
        <is>
          <t>Kiểm tra kế hoạch</t>
        </is>
      </c>
      <c r="B9" s="6" t="inlineStr">
        <is>
          <t>LNTT 1H26 = 49.1% KH năm (mùa vụ 46.8%) -&gt; vượt KH ~5.1%</t>
        </is>
      </c>
      <c r="C9" s="6" t="n"/>
      <c r="D9" s="6" t="inlineStr">
        <is>
          <t>CHECK</t>
        </is>
      </c>
    </row>
    <row r="10">
      <c r="A10" t="inlineStr">
        <is>
          <t>ĐỘ NHẠY — các biến 1H26 CHƯA chốt được</t>
        </is>
      </c>
      <c r="B10" s="5" t="n"/>
    </row>
    <row r="11">
      <c r="A11" t="inlineStr">
        <is>
          <t>Biến</t>
        </is>
      </c>
      <c r="B11" s="5" t="inlineStr">
        <is>
          <t>Tác động LNST-CĐTS</t>
        </is>
      </c>
      <c r="C11" t="inlineStr">
        <is>
          <t>FY26F</t>
        </is>
      </c>
      <c r="D11" t="inlineStr">
        <is>
          <t>Tăng trưởng</t>
        </is>
      </c>
    </row>
    <row r="12">
      <c r="A12" s="6" t="inlineStr">
        <is>
          <t>Giáo dục/khác đi ngang 2H thay vì +12.7%</t>
        </is>
      </c>
      <c r="B12" s="6" t="inlineStr">
        <is>
          <t>-181</t>
        </is>
      </c>
      <c r="C12" s="6" t="inlineStr">
        <is>
          <t>10,667</t>
        </is>
      </c>
      <c r="D12" s="6" t="inlineStr">
        <is>
          <t>+12.7%</t>
        </is>
      </c>
    </row>
    <row r="13">
      <c r="A13" s="6" t="inlineStr">
        <is>
          <t>Cty liên kết = run-rate FOX 1,714, không có LK khác</t>
        </is>
      </c>
      <c r="B13" s="6" t="inlineStr">
        <is>
          <t>-134</t>
        </is>
      </c>
      <c r="C13" s="6" t="inlineStr">
        <is>
          <t>10,714</t>
        </is>
      </c>
      <c r="D13" s="6" t="inlineStr">
        <is>
          <t>+13.2%</t>
        </is>
      </c>
    </row>
    <row r="14">
      <c r="A14" s="6" t="inlineStr">
        <is>
          <t>Thuế suất 13% thay vì 12% (ưu đãi hết hạn)</t>
        </is>
      </c>
      <c r="B14" s="6" t="inlineStr">
        <is>
          <t>-103</t>
        </is>
      </c>
      <c r="C14" s="6" t="inlineStr">
        <is>
          <t>10,745</t>
        </is>
      </c>
      <c r="D14" s="6" t="inlineStr">
        <is>
          <t>+13.5%</t>
        </is>
      </c>
    </row>
    <row r="15">
      <c r="A15" s="6" t="inlineStr">
        <is>
          <t>CNTT nước ngoài giữ +13.4% 2H (không tăng tốc)</t>
        </is>
      </c>
      <c r="B15" s="6" t="inlineStr">
        <is>
          <t>-63</t>
        </is>
      </c>
      <c r="C15" s="6" t="inlineStr">
        <is>
          <t>10,785</t>
        </is>
      </c>
      <c r="D15" s="6" t="inlineStr">
        <is>
          <t>+14.0%</t>
        </is>
      </c>
    </row>
    <row r="16">
      <c r="A16" s="6" t="inlineStr">
        <is>
          <t>CNTT trong nước giữ +22.5% 2H thay vì +5.6%</t>
        </is>
      </c>
      <c r="B16" s="6" t="inlineStr">
        <is>
          <t>+68</t>
        </is>
      </c>
      <c r="C16" s="6" t="inlineStr">
        <is>
          <t>10,916</t>
        </is>
      </c>
      <c r="D16" s="6" t="inlineStr">
        <is>
          <t>+15.3%</t>
        </is>
      </c>
    </row>
    <row r="17">
      <c r="A17" s="6" t="inlineStr">
        <is>
          <t>Gộp toàn bộ chiều giảm</t>
        </is>
      </c>
      <c r="B17" s="6" t="inlineStr">
        <is>
          <t>-481</t>
        </is>
      </c>
      <c r="C17" s="6" t="inlineStr">
        <is>
          <t>10,367</t>
        </is>
      </c>
      <c r="D17" s="6" t="inlineStr">
        <is>
          <t>+9.5%</t>
        </is>
      </c>
    </row>
    <row r="18">
      <c r="A18" s="6" t="inlineStr">
        <is>
          <t>Gộp toàn bộ chiều tăng</t>
        </is>
      </c>
      <c r="B18" s="6" t="inlineStr">
        <is>
          <t>+68</t>
        </is>
      </c>
      <c r="C18" s="6" t="inlineStr">
        <is>
          <t>10,916</t>
        </is>
      </c>
      <c r="D18" s="6" t="inlineStr">
        <is>
          <t>+15.3%</t>
        </is>
      </c>
    </row>
    <row r="19">
      <c r="A19" t="inlineStr">
        <is>
          <t>FY27F-28F — KHÔNG ĐƯỢC 1H26 XÁC NHẬN</t>
        </is>
      </c>
      <c r="B19" s="5" t="n"/>
    </row>
    <row r="20">
      <c r="A20" t="inlineStr">
        <is>
          <t>Cấu phần tăng trưởng khối hoạt động</t>
        </is>
      </c>
      <c r="B20" s="5" t="inlineStr">
        <is>
          <t>FY27F</t>
        </is>
      </c>
      <c r="C20" t="inlineStr">
        <is>
          <t>FY28F</t>
        </is>
      </c>
      <c r="D20" t="inlineStr">
        <is>
          <t>Ghi chú</t>
        </is>
      </c>
    </row>
    <row r="21">
      <c r="A21" s="6" t="inlineStr">
        <is>
          <t>Lợi nhuận hoạt động lõi</t>
        </is>
      </c>
      <c r="B21" s="6" t="inlineStr">
        <is>
          <t>+1,229 (73%)</t>
        </is>
      </c>
      <c r="C21" s="6" t="inlineStr">
        <is>
          <t>+2,001 (98%)</t>
        </is>
      </c>
      <c r="D21" s="6" t="inlineStr">
        <is>
          <t>dựa vào đòn bẩy SG&amp;A</t>
        </is>
      </c>
    </row>
    <row r="22">
      <c r="A22" s="6" t="inlineStr">
        <is>
          <t>Thu nhập tài chính ròng</t>
        </is>
      </c>
      <c r="B22" s="6" t="inlineStr">
        <is>
          <t>+446 (26%)</t>
        </is>
      </c>
      <c r="C22" s="6" t="inlineStr">
        <is>
          <t>+25 (1%)</t>
        </is>
      </c>
      <c r="D22" s="6" t="inlineStr">
        <is>
          <t>ĐIỂM YẾU NHẤT</t>
        </is>
      </c>
    </row>
    <row r="23">
      <c r="A23" s="6" t="inlineStr">
        <is>
          <t>Thu nhập tài chính ròng — mức tuyệt đối</t>
        </is>
      </c>
      <c r="B23" s="6" t="inlineStr">
        <is>
          <t>558 -&gt; 1,004 (+80%)</t>
        </is>
      </c>
      <c r="C23" s="6" t="inlineStr">
        <is>
          <t>1,030</t>
        </is>
      </c>
      <c r="D23" s="6" t="inlineStr">
        <is>
          <t>chưa có lý do</t>
        </is>
      </c>
    </row>
    <row r="24">
      <c r="A24" s="6" t="inlineStr">
        <is>
          <t>Nếu thu nhập tài chính chỉ đi ngang ở 558</t>
        </is>
      </c>
      <c r="B24" s="6" t="inlineStr">
        <is>
          <t>FY27F 12,163</t>
        </is>
      </c>
      <c r="C24" s="6" t="inlineStr">
        <is>
          <t>+12.1% thay vì +15.7%</t>
        </is>
      </c>
      <c r="D24" s="6" t="inlineStr">
        <is>
          <t>GAP</t>
        </is>
      </c>
    </row>
    <row r="25">
      <c r="A25" s="6" t="inlineStr">
        <is>
          <t>Biên hoạt động lõi</t>
        </is>
      </c>
      <c r="B25" s="6" t="inlineStr">
        <is>
          <t>17.06% -&gt; 16.66% -&gt; 16.97%</t>
        </is>
      </c>
      <c r="C25" s="6" t="n"/>
      <c r="D25" s="6" t="inlineStr">
        <is>
          <t>giảm rồi hồi</t>
        </is>
      </c>
    </row>
    <row r="26">
      <c r="A26" t="inlineStr">
        <is>
          <t>KẾT LUẬN</t>
        </is>
      </c>
      <c r="B26" s="5" t="n"/>
    </row>
    <row r="27">
      <c r="A27" s="6" t="inlineStr">
        <is>
          <t>FY26F</t>
        </is>
      </c>
      <c r="B27" s="6" t="inlineStr">
        <is>
          <t>đối chiếu chặt — 4 hướng trong biên 0.9%</t>
        </is>
      </c>
      <c r="C27" s="6" t="n"/>
      <c r="D27" s="6" t="inlineStr">
        <is>
          <t>CHECK</t>
        </is>
      </c>
    </row>
    <row r="28">
      <c r="A28" s="6" t="inlineStr">
        <is>
          <t>FY27F</t>
        </is>
      </c>
      <c r="B28" s="6" t="inlineStr">
        <is>
          <t>chưa đối chiếu được; 26% mức tăng đến từ thu nhập tài chính</t>
        </is>
      </c>
      <c r="C28" s="6" t="n"/>
      <c r="D28" s="6" t="inlineStr">
        <is>
          <t>GAP</t>
        </is>
      </c>
    </row>
    <row r="29">
      <c r="A29" s="6" t="inlineStr">
        <is>
          <t>FY28F</t>
        </is>
      </c>
      <c r="B29" s="6" t="inlineStr">
        <is>
          <t>cấu phần sạch hơn nhưng phụ thuộc hoàn toàn giả định SG&amp;A</t>
        </is>
      </c>
      <c r="C29" s="6" t="n"/>
      <c r="D29" s="6" t="inlineStr">
        <is>
          <t>GAP</t>
        </is>
      </c>
    </row>
    <row r="31">
      <c r="A31" t="inlineStr">
        <is>
          <t>FPT — TIỀN GỬI VÀ THU NHẬP TÀI CHÍNH</t>
        </is>
      </c>
      <c r="B31" s="5" t="n"/>
    </row>
    <row r="32">
      <c r="A32" t="inlineStr">
        <is>
          <t>Khoản mục (tỷ đồng)</t>
        </is>
      </c>
      <c r="B32" s="5" t="inlineStr">
        <is>
          <t>FY24</t>
        </is>
      </c>
      <c r="C32" t="inlineStr">
        <is>
          <t>FY25</t>
        </is>
      </c>
      <c r="D32" t="inlineStr">
        <is>
          <t>FY26F / FY27F / FY28F</t>
        </is>
      </c>
    </row>
    <row r="33">
      <c r="A33" s="6" t="inlineStr">
        <is>
          <t>Tiền và tương đương tiền (BS!6)</t>
        </is>
      </c>
      <c r="B33" s="6" t="inlineStr">
        <is>
          <t>9,315</t>
        </is>
      </c>
      <c r="C33" s="6" t="inlineStr">
        <is>
          <t>10,540</t>
        </is>
      </c>
      <c r="D33" s="6" t="inlineStr">
        <is>
          <t>17,810 / 20,357 / 22,560</t>
        </is>
      </c>
    </row>
    <row r="34">
      <c r="A34" s="6" t="inlineStr">
        <is>
          <t>Đầu tư tài chính ngắn hạn (BS!7)</t>
        </is>
      </c>
      <c r="B34" s="6" t="inlineStr">
        <is>
          <t>21,785</t>
        </is>
      </c>
      <c r="C34" s="6" t="inlineStr">
        <is>
          <t>29,613</t>
        </is>
      </c>
      <c r="D34" s="6" t="inlineStr">
        <is>
          <t>29,613 cả 3 năm — GIỮ NGUYÊN</t>
        </is>
      </c>
    </row>
    <row r="35">
      <c r="A35" s="6">
        <f> Thanh khoản gộp</f>
        <v/>
      </c>
      <c r="B35" s="6" t="inlineStr">
        <is>
          <t>31,100</t>
        </is>
      </c>
      <c r="C35" s="6" t="inlineStr">
        <is>
          <t>40,153</t>
        </is>
      </c>
      <c r="D35" s="6" t="inlineStr">
        <is>
          <t>47,423 / 49,970 / 52,173</t>
        </is>
      </c>
    </row>
    <row r="36">
      <c r="A36" s="6" t="inlineStr">
        <is>
          <t>Tổng nợ vay (BS!58)</t>
        </is>
      </c>
      <c r="B36" s="6" t="inlineStr">
        <is>
          <t>14,947</t>
        </is>
      </c>
      <c r="C36" s="6" t="inlineStr">
        <is>
          <t>21,073</t>
        </is>
      </c>
      <c r="D36" s="6" t="inlineStr">
        <is>
          <t>21,486 / 21,966 / 21,966</t>
        </is>
      </c>
    </row>
    <row r="37">
      <c r="A37" s="6">
        <f> Tiền ròng</f>
        <v/>
      </c>
      <c r="B37" s="6" t="inlineStr">
        <is>
          <t>16,153</t>
        </is>
      </c>
      <c r="C37" s="6" t="inlineStr">
        <is>
          <t>19,080</t>
        </is>
      </c>
      <c r="D37" s="6" t="inlineStr">
        <is>
          <t>25,937 / 28,004 / 30,207</t>
        </is>
      </c>
    </row>
    <row r="38">
      <c r="A38" s="6" t="inlineStr">
        <is>
          <t>Doanh thu HĐ tài chính (PL!32)</t>
        </is>
      </c>
      <c r="B38" s="6" t="inlineStr">
        <is>
          <t>1,936</t>
        </is>
      </c>
      <c r="C38" s="6" t="inlineStr">
        <is>
          <t>2,977</t>
        </is>
      </c>
      <c r="D38" s="6" t="inlineStr">
        <is>
          <t>1,882 / 2,444 / 2,554</t>
        </is>
      </c>
    </row>
    <row r="39">
      <c r="A39" s="6" t="inlineStr">
        <is>
          <t>Chi phí HĐ tài chính (PL!34)</t>
        </is>
      </c>
      <c r="B39" s="6" t="inlineStr">
        <is>
          <t>1,812</t>
        </is>
      </c>
      <c r="C39" s="6" t="inlineStr">
        <is>
          <t>1,672</t>
        </is>
      </c>
      <c r="D39" s="6" t="inlineStr">
        <is>
          <t>1,324 / 1,439 / 1,524</t>
        </is>
      </c>
    </row>
    <row r="40">
      <c r="A40" s="6" t="inlineStr">
        <is>
          <t xml:space="preserve">  trong đó chi phí lãi vay (PL!35)</t>
        </is>
      </c>
      <c r="B40" s="6" t="inlineStr">
        <is>
          <t>552</t>
        </is>
      </c>
      <c r="C40" s="6" t="inlineStr">
        <is>
          <t>810</t>
        </is>
      </c>
      <c r="D40" s="6" t="inlineStr">
        <is>
          <t>924 / 978 / 988</t>
        </is>
      </c>
    </row>
    <row r="41">
      <c r="A41" s="6">
        <f> Lãi/lỗ HĐ tài chính thuần (PL!39)</f>
        <v/>
      </c>
      <c r="B41" s="6" t="inlineStr">
        <is>
          <t>124</t>
        </is>
      </c>
      <c r="C41" s="6" t="inlineStr">
        <is>
          <t>1,305</t>
        </is>
      </c>
      <c r="D41" s="6" t="inlineStr">
        <is>
          <t>558 / 1,004 / 1,029</t>
        </is>
      </c>
    </row>
    <row r="42">
      <c r="A42" s="6" t="inlineStr">
        <is>
          <t>Suất sinh lời trên thanh khoản (PL!33)</t>
        </is>
      </c>
      <c r="B42" s="6" t="inlineStr">
        <is>
          <t>6.23%</t>
        </is>
      </c>
      <c r="C42" s="6" t="inlineStr">
        <is>
          <t>7.41%</t>
        </is>
      </c>
      <c r="D42" s="6" t="inlineStr">
        <is>
          <t>3.97% / 4.89% / 4.90%</t>
        </is>
      </c>
    </row>
    <row r="43">
      <c r="A43" t="inlineStr">
        <is>
          <t>BẢN CHẤT KHOẢN ĐẦU TƯ — theo Thuyết minh 4 BCTC FOX</t>
        </is>
      </c>
      <c r="B43" s="5" t="n"/>
    </row>
    <row r="44">
      <c r="A44" s="6" t="inlineStr">
        <is>
          <t>FOX — tiền gửi có kỳ hạn 31/12/2025</t>
        </is>
      </c>
      <c r="B44" s="6" t="inlineStr">
        <is>
          <t>12,378.5</t>
        </is>
      </c>
      <c r="C44" s="6" t="inlineStr">
        <is>
          <t>VNDbn</t>
        </is>
      </c>
      <c r="D44" s="6" t="inlineStr">
        <is>
          <t>COMPANY (TM4)</t>
        </is>
      </c>
    </row>
    <row r="45">
      <c r="A45" s="6" t="inlineStr">
        <is>
          <t>FOX — lãi phải thu ngắn hạn 31/12/2025</t>
        </is>
      </c>
      <c r="B45" s="6" t="inlineStr">
        <is>
          <t>163.4</t>
        </is>
      </c>
      <c r="C45" s="6" t="inlineStr">
        <is>
          <t>VNDbn</t>
        </is>
      </c>
      <c r="D45" s="6" t="inlineStr">
        <is>
          <t>COMPANY (TM4)</t>
        </is>
      </c>
    </row>
    <row r="46">
      <c r="A46" s="6" t="inlineStr">
        <is>
          <t>FOX — tổng ĐT nắm giữ đến đáo hạn 31/12/2025</t>
        </is>
      </c>
      <c r="B46" s="6" t="inlineStr">
        <is>
          <t>12,541.9</t>
        </is>
      </c>
      <c r="C46" s="6" t="inlineStr">
        <is>
          <t>VNDbn</t>
        </is>
      </c>
      <c r="D46" s="6" t="inlineStr">
        <is>
          <t>COMPANY (TM4)</t>
        </is>
      </c>
    </row>
    <row r="47">
      <c r="A47" s="6" t="inlineStr">
        <is>
          <t>FOX — tổng ĐT nắm giữ đến đáo hạn 30/06/2026</t>
        </is>
      </c>
      <c r="B47" s="6" t="inlineStr">
        <is>
          <t>15,284.0</t>
        </is>
      </c>
      <c r="C47" s="6" t="inlineStr">
        <is>
          <t>VNDbn</t>
        </is>
      </c>
      <c r="D47" s="6" t="inlineStr">
        <is>
          <t>COMPANY (TM4)</t>
        </is>
      </c>
    </row>
    <row r="48">
      <c r="A48" s="6" t="inlineStr">
        <is>
          <t>BẢN CHẤT</t>
        </is>
      </c>
      <c r="B48" s="6" t="inlineStr">
        <is>
          <t>tiền gửi NHTM trong nước, kỳ hạn gốc 3-12 tháng</t>
        </is>
      </c>
      <c r="C48" s="6" t="n"/>
      <c r="D48" s="6" t="inlineStr">
        <is>
          <t>COMPANY (TM4)</t>
        </is>
      </c>
    </row>
    <row r="49">
      <c r="A49" s="6" t="inlineStr">
        <is>
          <t>CHỨNG CHỈ TIỀN GỬI (CD)</t>
        </is>
      </c>
      <c r="B49" s="6" t="inlineStr">
        <is>
          <t>KHÔNG có khoản nào được phân loại là CD ở FOX</t>
        </is>
      </c>
      <c r="C49" s="6" t="n"/>
      <c r="D49" s="6" t="inlineStr">
        <is>
          <t>COMPANY</t>
        </is>
      </c>
    </row>
    <row r="50">
      <c r="A50" s="6" t="inlineStr">
        <is>
          <t>FPT mẹ — chưa xác minh được</t>
        </is>
      </c>
      <c r="B50" s="6" t="inlineStr">
        <is>
          <t>chưa có BCTC riêng của FPT; không suy diễn tỷ trọng CD</t>
        </is>
      </c>
      <c r="C50" s="6" t="n"/>
      <c r="D50" s="6" t="inlineStr">
        <is>
          <t>GAP</t>
        </is>
      </c>
    </row>
    <row r="51">
      <c r="A51" t="inlineStr">
        <is>
          <t>PHÁT HIỆN — BẢNG CÂN ĐỐI CHƯA ĐƯỢC LẬP LẠI SAU KHI THÔI HỢP NHẤT</t>
        </is>
      </c>
      <c r="B51" s="5" t="n"/>
    </row>
    <row r="52">
      <c r="A52" s="6" t="inlineStr">
        <is>
          <t>ĐTTC ngắn hạn 29,613 vẫn gồm FOX</t>
        </is>
      </c>
      <c r="B52" s="6" t="inlineStr">
        <is>
          <t>FOX chiếm 12,542 (42%) — FPT trừ FOX còn ~17,071</t>
        </is>
      </c>
      <c r="C52" s="6" t="n"/>
      <c r="D52" s="6" t="inlineStr">
        <is>
          <t>DERIVED</t>
        </is>
      </c>
    </row>
    <row r="53">
      <c r="A53" s="6" t="inlineStr">
        <is>
          <t>Tổng tài sản FY26F 92,112</t>
        </is>
      </c>
      <c r="B53" s="6" t="inlineStr">
        <is>
          <t>lẽ ra ~74,000 + tăng trưởng (bỏ FOX 26,105, cộng 12,270 VCSH)</t>
        </is>
      </c>
      <c r="C53" s="6" t="n"/>
      <c r="D53" s="6" t="inlineStr">
        <is>
          <t>GAP</t>
        </is>
      </c>
    </row>
    <row r="54">
      <c r="A54" s="6" t="inlineStr">
        <is>
          <t>Hệ quả</t>
        </is>
      </c>
      <c r="B54" s="6" t="inlineStr">
        <is>
          <t>P/B, BVPS, VCSH, tổng tài sản trên slide không tin cậy</t>
        </is>
      </c>
      <c r="C54" s="6" t="n"/>
      <c r="D54" s="6" t="inlineStr">
        <is>
          <t>GAP</t>
        </is>
      </c>
    </row>
    <row r="55">
      <c r="A55" s="6" t="inlineStr">
        <is>
          <t>KHÔNG ảnh hưởng dự phóng LNST-CĐTS</t>
        </is>
      </c>
      <c r="B55" s="6" t="inlineStr">
        <is>
          <t>PL!32 là input từ lịch riêng (PL!K390), không chạy từ BS</t>
        </is>
      </c>
      <c r="C55" s="6" t="n"/>
      <c r="D55" s="6" t="inlineStr">
        <is>
          <t>CHECK</t>
        </is>
      </c>
    </row>
    <row r="56">
      <c r="A56" t="inlineStr">
        <is>
          <t>ĐÍNH CHÍNH NHẬN ĐỊNH TRƯỚC ĐÓ VỀ FY27F</t>
        </is>
      </c>
      <c r="B56" s="5" t="n"/>
    </row>
    <row r="57">
      <c r="A57" s="6" t="inlineStr">
        <is>
          <t>Nhận định cũ</t>
        </is>
      </c>
      <c r="B57" s="6" t="inlineStr">
        <is>
          <t>thu nhập tài chính 558 -&gt; 1,004 là điểm yếu nhất, không có lý do</t>
        </is>
      </c>
      <c r="C57" s="6" t="n"/>
      <c r="D57" s="6" t="inlineStr">
        <is>
          <t>REJECTED</t>
        </is>
      </c>
    </row>
    <row r="58">
      <c r="A58" s="6" t="inlineStr">
        <is>
          <t>Bằng chứng mới</t>
        </is>
      </c>
      <c r="B58" s="6" t="inlineStr">
        <is>
          <t>FOX 1H26 đạt 7.64% trên cùng thước đo; FPT FY25 đạt 7.41%</t>
        </is>
      </c>
      <c r="C58" s="6" t="n"/>
      <c r="D58" s="6" t="inlineStr">
        <is>
          <t>COMPANY</t>
        </is>
      </c>
    </row>
    <row r="59">
      <c r="A59" s="6" t="inlineStr">
        <is>
          <t>Nhận định đúng</t>
        </is>
      </c>
      <c r="B59" s="6" t="inlineStr">
        <is>
          <t>FY26F 3.97% mới là số lạc; FY27F 4.89% là hồi về mức bình thường</t>
        </is>
      </c>
      <c r="C59" s="6" t="n"/>
      <c r="D59" s="6" t="inlineStr">
        <is>
          <t>DERIVED</t>
        </is>
      </c>
    </row>
    <row r="60">
      <c r="A60" s="6" t="inlineStr">
        <is>
          <t>Trên nền trừ FOX</t>
        </is>
      </c>
      <c r="B60" s="6" t="inlineStr">
        <is>
          <t>FY26F 5.40% / FY27F 6.53% — vẫn thấp hơn 7.4-7.6% quan sát được</t>
        </is>
      </c>
      <c r="C60" s="6" t="n"/>
      <c r="D60" s="6" t="inlineStr">
        <is>
          <t>DERIVED</t>
        </is>
      </c>
    </row>
    <row r="61">
      <c r="A61" s="6" t="inlineStr">
        <is>
          <t>Chiều rủi ro</t>
        </is>
      </c>
      <c r="B61" s="6" t="inlineStr">
        <is>
          <t>FY26F có thể đang thận trọng, không phải FY27F quá lạc quan</t>
        </is>
      </c>
      <c r="C61" s="6" t="n"/>
      <c r="D61" s="6" t="inlineStr">
        <is>
          <t>DERIVED</t>
        </is>
      </c>
    </row>
    <row r="63">
      <c r="A63" t="inlineStr">
        <is>
          <t>FPT — DỰNG LẠI TRÊN BCTC HỢP NHẤT Q2/2026 CỦA CHÍNH FPT (ký 21/07/2026)</t>
        </is>
      </c>
      <c r="B63" s="5" t="n"/>
    </row>
    <row r="64">
      <c r="A64" t="inlineStr">
        <is>
          <t>Chỉ tiêu 1H26 (tỷ đồng)</t>
        </is>
      </c>
      <c r="B64" s="5" t="inlineStr">
        <is>
          <t>Số liệu</t>
        </is>
      </c>
      <c r="C64" t="inlineStr">
        <is>
          <t>Tỷ lệ</t>
        </is>
      </c>
      <c r="D64" t="inlineStr">
        <is>
          <t>Nguồn</t>
        </is>
      </c>
    </row>
    <row r="65">
      <c r="A65" s="6" t="inlineStr">
        <is>
          <t>Doanh thu thuần</t>
        </is>
      </c>
      <c r="B65" s="6" t="inlineStr">
        <is>
          <t>26,268.5</t>
        </is>
      </c>
      <c r="C65" s="6" t="n"/>
      <c r="D65" s="6" t="inlineStr">
        <is>
          <t>COMPANY (KQKD HN)</t>
        </is>
      </c>
    </row>
    <row r="66">
      <c r="A66" s="6" t="inlineStr">
        <is>
          <t>Giá vốn</t>
        </is>
      </c>
      <c r="B66" s="6" t="inlineStr">
        <is>
          <t>17,745.0</t>
        </is>
      </c>
      <c r="C66" s="6" t="inlineStr">
        <is>
          <t>67.552% DT</t>
        </is>
      </c>
      <c r="D66" s="6" t="inlineStr">
        <is>
          <t>COMPANY</t>
        </is>
      </c>
    </row>
    <row r="67">
      <c r="A67" s="6" t="inlineStr">
        <is>
          <t>Lợi nhuận gộp</t>
        </is>
      </c>
      <c r="B67" s="6" t="inlineStr">
        <is>
          <t>8,523.5</t>
        </is>
      </c>
      <c r="C67" s="6" t="inlineStr">
        <is>
          <t>32.448% DT</t>
        </is>
      </c>
      <c r="D67" s="6" t="inlineStr">
        <is>
          <t>COMPANY</t>
        </is>
      </c>
    </row>
    <row r="68">
      <c r="A68" s="6" t="inlineStr">
        <is>
          <t>Chi phí bán hàng</t>
        </is>
      </c>
      <c r="B68" s="6" t="inlineStr">
        <is>
          <t>2,151.4</t>
        </is>
      </c>
      <c r="C68" s="6" t="inlineStr">
        <is>
          <t>8.190% DT</t>
        </is>
      </c>
      <c r="D68" s="6" t="inlineStr">
        <is>
          <t>COMPANY</t>
        </is>
      </c>
    </row>
    <row r="69">
      <c r="A69" s="6" t="inlineStr">
        <is>
          <t>Chi phí quản lý</t>
        </is>
      </c>
      <c r="B69" s="6" t="inlineStr">
        <is>
          <t>2,492.9</t>
        </is>
      </c>
      <c r="C69" s="6" t="inlineStr">
        <is>
          <t>9.490% DT</t>
        </is>
      </c>
      <c r="D69" s="6" t="inlineStr">
        <is>
          <t>COMPANY</t>
        </is>
      </c>
    </row>
    <row r="70">
      <c r="A70" s="6" t="inlineStr">
        <is>
          <t>Doanh thu HĐ tài chính</t>
        </is>
      </c>
      <c r="B70" s="6" t="inlineStr">
        <is>
          <t>998.6</t>
        </is>
      </c>
      <c r="C70" s="6" t="n"/>
      <c r="D70" s="6" t="inlineStr">
        <is>
          <t>COMPANY (TM 27)</t>
        </is>
      </c>
    </row>
    <row r="71">
      <c r="A71" s="6" t="inlineStr">
        <is>
          <t xml:space="preserve">  - lãi tiền gửi</t>
        </is>
      </c>
      <c r="B71" s="6" t="inlineStr">
        <is>
          <t>813.2</t>
        </is>
      </c>
      <c r="C71" s="6" t="n"/>
      <c r="D71" s="6" t="inlineStr">
        <is>
          <t>COMPANY (TM 27)</t>
        </is>
      </c>
    </row>
    <row r="72">
      <c r="A72" s="6" t="inlineStr">
        <is>
          <t xml:space="preserve">  - lãi tỷ giá</t>
        </is>
      </c>
      <c r="B72" s="6" t="inlineStr">
        <is>
          <t>149.7</t>
        </is>
      </c>
      <c r="C72" s="6" t="n"/>
      <c r="D72" s="6" t="inlineStr">
        <is>
          <t>COMPANY (TM 27)</t>
        </is>
      </c>
    </row>
    <row r="73">
      <c r="A73" s="6" t="inlineStr">
        <is>
          <t xml:space="preserve">  - cổ tức, LN được chia</t>
        </is>
      </c>
      <c r="B73" s="6" t="inlineStr">
        <is>
          <t>33.3</t>
        </is>
      </c>
      <c r="C73" s="6" t="n"/>
      <c r="D73" s="6" t="inlineStr">
        <is>
          <t>COMPANY (TM 27)</t>
        </is>
      </c>
    </row>
    <row r="74">
      <c r="A74" s="6" t="inlineStr">
        <is>
          <t>Chi phí HĐ tài chính</t>
        </is>
      </c>
      <c r="B74" s="6" t="inlineStr">
        <is>
          <t>667.7</t>
        </is>
      </c>
      <c r="C74" s="6" t="n"/>
      <c r="D74" s="6" t="inlineStr">
        <is>
          <t>COMPANY (TM 28)</t>
        </is>
      </c>
    </row>
    <row r="75">
      <c r="A75" s="6" t="inlineStr">
        <is>
          <t xml:space="preserve">  - chi phí lãi vay</t>
        </is>
      </c>
      <c r="B75" s="6" t="inlineStr">
        <is>
          <t>392.0</t>
        </is>
      </c>
      <c r="C75" s="6" t="n"/>
      <c r="D75" s="6" t="inlineStr">
        <is>
          <t>COMPANY (TM 28)</t>
        </is>
      </c>
    </row>
    <row r="76">
      <c r="A76" s="6" t="inlineStr">
        <is>
          <t xml:space="preserve">  - lỗ tỷ giá</t>
        </is>
      </c>
      <c r="B76" s="6" t="inlineStr">
        <is>
          <t>209.9</t>
        </is>
      </c>
      <c r="C76" s="6" t="n"/>
      <c r="D76" s="6" t="inlineStr">
        <is>
          <t>COMPANY (TM 28)</t>
        </is>
      </c>
    </row>
    <row r="77">
      <c r="A77" s="6" t="inlineStr">
        <is>
          <t xml:space="preserve">  - dự phòng giảm giá đầu tư</t>
        </is>
      </c>
      <c r="B77" s="6" t="inlineStr">
        <is>
          <t>65.4</t>
        </is>
      </c>
      <c r="C77" s="6" t="n"/>
      <c r="D77" s="6" t="inlineStr">
        <is>
          <t>COMPANY (TM 28)</t>
        </is>
      </c>
    </row>
    <row r="78">
      <c r="A78" s="6">
        <f> Lãi HĐ tài chính thuần</f>
        <v/>
      </c>
      <c r="B78" s="6" t="inlineStr">
        <is>
          <t>330.9</t>
        </is>
      </c>
      <c r="C78" s="6" t="n"/>
      <c r="D78" s="6" t="inlineStr">
        <is>
          <t>DERIVED</t>
        </is>
      </c>
    </row>
    <row r="79">
      <c r="A79" s="6" t="inlineStr">
        <is>
          <t>LN từ công ty liên doanh, liên kết</t>
        </is>
      </c>
      <c r="B79" s="6" t="inlineStr">
        <is>
          <t>1,423.4</t>
        </is>
      </c>
      <c r="C79" s="6" t="n"/>
      <c r="D79" s="6" t="inlineStr">
        <is>
          <t>COMPANY</t>
        </is>
      </c>
    </row>
    <row r="80">
      <c r="A80" s="6" t="inlineStr">
        <is>
          <t>Chi phí thuế TNDN (hiện hành + hoãn lại)</t>
        </is>
      </c>
      <c r="B80" s="6" t="inlineStr">
        <is>
          <t>667.1</t>
        </is>
      </c>
      <c r="C80" s="6" t="inlineStr">
        <is>
          <t>15.55% phần ngoài LK</t>
        </is>
      </c>
      <c r="D80" s="6" t="inlineStr">
        <is>
          <t>COMPANY</t>
        </is>
      </c>
    </row>
    <row r="81">
      <c r="A81" s="6" t="inlineStr">
        <is>
          <t>Lợi ích cổ đông không kiểm soát</t>
        </is>
      </c>
      <c r="B81" s="6" t="inlineStr">
        <is>
          <t>-7.8</t>
        </is>
      </c>
      <c r="C81" s="6" t="inlineStr">
        <is>
          <t>≈ 0 sau thôi hợp nhất</t>
        </is>
      </c>
      <c r="D81" s="6" t="inlineStr">
        <is>
          <t>COMPANY</t>
        </is>
      </c>
    </row>
    <row r="82">
      <c r="A82" s="6" t="inlineStr">
        <is>
          <t>LNST-CĐTS</t>
        </is>
      </c>
      <c r="B82" s="6" t="inlineStr">
        <is>
          <t>5,055.0</t>
        </is>
      </c>
      <c r="C82" s="6" t="n"/>
      <c r="D82" s="6" t="inlineStr">
        <is>
          <t>COMPANY</t>
        </is>
      </c>
    </row>
    <row r="83">
      <c r="A83" t="inlineStr">
        <is>
          <t>CÔNG TY LIÊN KẾT — TM 17 (giải thích dòng 1,423.4)</t>
        </is>
      </c>
      <c r="B83" s="5" t="n"/>
    </row>
    <row r="84">
      <c r="A84" s="6" t="inlineStr">
        <is>
          <t>CTCP Viễn thông FPT (FOX)</t>
        </is>
      </c>
      <c r="B84" s="6" t="inlineStr">
        <is>
          <t>45.66%</t>
        </is>
      </c>
      <c r="C84" s="6" t="inlineStr">
        <is>
          <t>~857 trong 1H26</t>
        </is>
      </c>
      <c r="D84" s="6" t="inlineStr">
        <is>
          <t>COMPANY</t>
        </is>
      </c>
    </row>
    <row r="85">
      <c r="A85" s="6" t="inlineStr">
        <is>
          <t>CTCP Bán lẻ Kỹ thuật số FPT (FRT)</t>
        </is>
      </c>
      <c r="B85" s="6" t="inlineStr">
        <is>
          <t>46.54%</t>
        </is>
      </c>
      <c r="C85" s="6" t="n"/>
      <c r="D85" s="6" t="inlineStr">
        <is>
          <t>COMPANY</t>
        </is>
      </c>
    </row>
    <row r="86">
      <c r="A86" s="6" t="inlineStr">
        <is>
          <t>CTCP Synnex FPT</t>
        </is>
      </c>
      <c r="B86" s="6" t="inlineStr">
        <is>
          <t>48.00%</t>
        </is>
      </c>
      <c r="C86" s="6" t="n"/>
      <c r="D86" s="6" t="inlineStr">
        <is>
          <t>COMPANY</t>
        </is>
      </c>
    </row>
    <row r="87">
      <c r="A87" s="6" t="inlineStr">
        <is>
          <t>CTCP Dịch vụ Trực tuyến FPT</t>
        </is>
      </c>
      <c r="B87" s="6" t="inlineStr">
        <is>
          <t>49.52% (23.86% biểu quyết)</t>
        </is>
      </c>
      <c r="C87" s="6" t="n"/>
      <c r="D87" s="6" t="inlineStr">
        <is>
          <t>COMPANY</t>
        </is>
      </c>
    </row>
    <row r="88">
      <c r="A88" t="inlineStr">
        <is>
          <t>TIỀN GỬI — TM 6 (đóng lại câu hỏi về chứng chỉ tiền gửi)</t>
        </is>
      </c>
      <c r="B88" s="5" t="n"/>
    </row>
    <row r="89">
      <c r="A89" s="6" t="inlineStr">
        <is>
          <t>Tiền gửi có kỳ hạn 30/06/2026</t>
        </is>
      </c>
      <c r="B89" s="6" t="inlineStr">
        <is>
          <t>19,406.1</t>
        </is>
      </c>
      <c r="C89" s="6" t="inlineStr">
        <is>
          <t>100% VND</t>
        </is>
      </c>
      <c r="D89" s="6" t="inlineStr">
        <is>
          <t>COMPANY (TM 6)</t>
        </is>
      </c>
    </row>
    <row r="90">
      <c r="A90" s="6" t="inlineStr">
        <is>
          <t>Tiền gửi có kỳ hạn 31/12/2025</t>
        </is>
      </c>
      <c r="B90" s="6" t="inlineStr">
        <is>
          <t>29,631.0</t>
        </is>
      </c>
      <c r="C90" s="6" t="inlineStr">
        <is>
          <t>VND 28,465 / JPY 1,008 / EUR 158</t>
        </is>
      </c>
      <c r="D90" s="6" t="inlineStr">
        <is>
          <t>COMPANY (TM 6)</t>
        </is>
      </c>
    </row>
    <row r="91">
      <c r="A91" s="6" t="inlineStr">
        <is>
          <t>CHỨNG CHỈ TIỀN GỬI</t>
        </is>
      </c>
      <c r="B91" s="6" t="inlineStr">
        <is>
          <t>KHÔNG có — toàn bộ là tiền gửi ngân hàng</t>
        </is>
      </c>
      <c r="C91" s="6" t="n"/>
      <c r="D91" s="6" t="inlineStr">
        <is>
          <t>COMPANY (TM 6)</t>
        </is>
      </c>
    </row>
    <row r="92">
      <c r="A92" s="6" t="inlineStr">
        <is>
          <t>Tiền + tiền gửi, trừ FOX</t>
        </is>
      </c>
      <c r="B92" s="6" t="inlineStr">
        <is>
          <t>27,061 (31/12/25) -&gt; 28,472 (30/06/26)</t>
        </is>
      </c>
      <c r="C92" s="6" t="inlineStr">
        <is>
          <t>+10.7%/năm</t>
        </is>
      </c>
      <c r="D92" s="6" t="inlineStr">
        <is>
          <t>DERIVED</t>
        </is>
      </c>
    </row>
    <row r="93">
      <c r="A93" s="6" t="inlineStr">
        <is>
          <t>Suất sinh lời tiền gửi thực tế</t>
        </is>
      </c>
      <c r="B93" s="6" t="inlineStr">
        <is>
          <t>813.2 x2 / bình quân 27,766</t>
        </is>
      </c>
      <c r="C93" s="6" t="inlineStr">
        <is>
          <t>5.86%</t>
        </is>
      </c>
      <c r="D93" s="6" t="inlineStr">
        <is>
          <t>DERIVED</t>
        </is>
      </c>
    </row>
    <row r="94">
      <c r="A94" s="6" t="inlineStr">
        <is>
          <t>Tổng nợ vay 30/06/2026</t>
        </is>
      </c>
      <c r="B94" s="6" t="inlineStr">
        <is>
          <t>18,448.4</t>
        </is>
      </c>
      <c r="C94" s="6" t="inlineStr">
        <is>
          <t>từ 21,073.5</t>
        </is>
      </c>
      <c r="D94" s="6" t="inlineStr">
        <is>
          <t>COMPANY (TM 23)</t>
        </is>
      </c>
    </row>
    <row r="95">
      <c r="A95" t="inlineStr">
        <is>
          <t>GIẢ ĐỊNH MỚI — thay toàn bộ bản trước</t>
        </is>
      </c>
      <c r="B95" s="5" t="n"/>
    </row>
    <row r="96">
      <c r="A96" s="6" t="inlineStr">
        <is>
          <t>PL!Q11:S11 Giá vốn</t>
        </is>
      </c>
      <c r="B96" s="6" t="inlineStr">
        <is>
          <t>Revenue!J5 -&gt; =Q9*67.552%</t>
        </is>
      </c>
      <c r="C96" s="6" t="inlineStr">
        <is>
          <t>model giả định biên gộp 34.66%</t>
        </is>
      </c>
      <c r="D96" s="6" t="inlineStr">
        <is>
          <t>MAS</t>
        </is>
      </c>
    </row>
    <row r="97">
      <c r="A97" s="6" t="inlineStr">
        <is>
          <t>PL!Q19:S19 CPBH/DT</t>
        </is>
      </c>
      <c r="B97" s="6" t="inlineStr">
        <is>
          <t>8.00/7.62/7.15% -&gt; 8.167/8.180/8.105%</t>
        </is>
      </c>
      <c r="C97" s="6" t="inlineStr">
        <is>
          <t>bỏ đòn bẩy SG&amp;A tự đặt</t>
        </is>
      </c>
      <c r="D97" s="6" t="inlineStr">
        <is>
          <t>MAS</t>
        </is>
      </c>
    </row>
    <row r="98">
      <c r="A98" s="6" t="inlineStr">
        <is>
          <t>PL!Q20:S20 CPQL/DT</t>
        </is>
      </c>
      <c r="B98" s="6" t="inlineStr">
        <is>
          <t>9.6/9.5/9.3% -&gt; 9.464/9.478/9.391%</t>
        </is>
      </c>
      <c r="C98" s="6" t="n"/>
      <c r="D98" s="6" t="inlineStr">
        <is>
          <t>MAS</t>
        </is>
      </c>
    </row>
    <row r="99">
      <c r="A99" s="6" t="inlineStr">
        <is>
          <t>PL!Q32:S32 DT tài chính</t>
        </is>
      </c>
      <c r="B99" s="6" t="inlineStr">
        <is>
          <t>1,882/2,444/2,554 -&gt; 1,890/1,925/2,129</t>
        </is>
      </c>
      <c r="C99" s="6" t="inlineStr">
        <is>
          <t>tiền gửi x 5.86%</t>
        </is>
      </c>
      <c r="D99" s="6" t="inlineStr">
        <is>
          <t>MAS</t>
        </is>
      </c>
    </row>
    <row r="100">
      <c r="A100" s="6" t="inlineStr">
        <is>
          <t>PL!Q34:S34 CP tài chính</t>
        </is>
      </c>
      <c r="B100" s="6" t="inlineStr">
        <is>
          <t>1,324/1,439/1,524 -&gt; 1,060/858/881</t>
        </is>
      </c>
      <c r="C100" s="6" t="inlineStr">
        <is>
          <t>tỷ giá &amp; dự phòng = 0 về sau</t>
        </is>
      </c>
      <c r="D100" s="6" t="inlineStr">
        <is>
          <t>MAS</t>
        </is>
      </c>
    </row>
    <row r="101">
      <c r="A101" s="6" t="inlineStr">
        <is>
          <t>PL!Q42:S42 / Q43:S43 thu nhập khác</t>
        </is>
      </c>
      <c r="B101" s="6" t="inlineStr">
        <is>
          <t>net 97/110/128 -&gt; 170/195/225</t>
        </is>
      </c>
      <c r="C101" s="6" t="n"/>
      <c r="D101" s="6" t="inlineStr">
        <is>
          <t>MAS</t>
        </is>
      </c>
    </row>
    <row r="102">
      <c r="A102" s="6" t="inlineStr">
        <is>
          <t>Scenarios!H45:J45 liên kết</t>
        </is>
      </c>
      <c r="B102" s="6" t="inlineStr">
        <is>
          <t>3.23/3.20/3.14% -&gt; 4.977/4.921/4.834%</t>
        </is>
      </c>
      <c r="C102" s="6">
        <f> 1,423.4 x2, tăng 14%/năm</f>
        <v/>
      </c>
      <c r="D102" s="6" t="inlineStr">
        <is>
          <t>MAS</t>
        </is>
      </c>
    </row>
    <row r="103">
      <c r="A103" s="6" t="inlineStr">
        <is>
          <t>PL!Q50:S50 thuế</t>
        </is>
      </c>
      <c r="B103" s="6" t="inlineStr">
        <is>
          <t>(Q47-Q45)*12% -&gt; *15.55%</t>
        </is>
      </c>
      <c r="C103" s="6" t="inlineStr">
        <is>
          <t>theo thuế suất thực tế 1H26</t>
        </is>
      </c>
      <c r="D103" s="6" t="inlineStr">
        <is>
          <t>MAS</t>
        </is>
      </c>
    </row>
    <row r="104">
      <c r="A104" s="6" t="inlineStr">
        <is>
          <t>PL!Q54:S54 lợi ích CĐTS</t>
        </is>
      </c>
      <c r="B104" s="6" t="inlineStr">
        <is>
          <t>công thức cũ -&gt; 0</t>
        </is>
      </c>
      <c r="C104" s="6" t="inlineStr">
        <is>
          <t>1H26 thực tế -7.8</t>
        </is>
      </c>
      <c r="D104" s="6" t="inlineStr">
        <is>
          <t>MAS</t>
        </is>
      </c>
    </row>
    <row r="105">
      <c r="A105" t="inlineStr">
        <is>
          <t>KẾT QUẢ — LNST-CĐTS KHÔNG ĐỔI</t>
        </is>
      </c>
      <c r="B105" s="5" t="n"/>
    </row>
    <row r="106">
      <c r="A106" s="6" t="inlineStr">
        <is>
          <t>FY26F / FY27F / FY28F</t>
        </is>
      </c>
      <c r="B106" s="6" t="inlineStr">
        <is>
          <t>10,848 / 12,549 / 14,608</t>
        </is>
      </c>
      <c r="C106" s="6" t="inlineStr">
        <is>
          <t>+14.6% / +15.7% / +16.4%</t>
        </is>
      </c>
      <c r="D106" s="6" t="inlineStr">
        <is>
          <t>MAS</t>
        </is>
      </c>
    </row>
    <row r="107">
      <c r="A107" s="6" t="inlineStr">
        <is>
          <t>LNTT trên slide</t>
        </is>
      </c>
      <c r="B107" s="6" t="inlineStr">
        <is>
          <t>12,262/14,211/16,549 -&gt; 12,321/14,261/16,617</t>
        </is>
      </c>
      <c r="C107" s="6" t="n"/>
      <c r="D107" s="6" t="inlineStr">
        <is>
          <t>MAS</t>
        </is>
      </c>
    </row>
    <row r="108">
      <c r="A108" s="6" t="inlineStr">
        <is>
          <t>Chi phí BH+QL / doanh thu</t>
        </is>
      </c>
      <c r="B108" s="6" t="inlineStr">
        <is>
          <t>17.63% / 17.66% / 17.50%</t>
        </is>
      </c>
      <c r="C108" s="6" t="inlineStr">
        <is>
          <t>1H26 thực tế 17.68% — gần như phẳng</t>
        </is>
      </c>
      <c r="D108" s="6" t="inlineStr">
        <is>
          <t>CHECK</t>
        </is>
      </c>
    </row>
    <row r="109">
      <c r="A109" s="6" t="inlineStr">
        <is>
          <t>Kiểm tra tự động</t>
        </is>
      </c>
      <c r="B109" s="6" t="inlineStr">
        <is>
          <t>verify_model.py 12/12 + check_fpt.py 42/42 đạt</t>
        </is>
      </c>
      <c r="C109" s="6" t="n"/>
      <c r="D109" s="6" t="inlineStr">
        <is>
          <t>CHECK</t>
        </is>
      </c>
    </row>
    <row r="110">
      <c r="A110" t="inlineStr">
        <is>
          <t>ĐÍNH CHÍNH — hai nhận định trước đó đều sai</t>
        </is>
      </c>
      <c r="B110" s="5" t="n"/>
    </row>
    <row r="111">
      <c r="A111" s="6" t="inlineStr">
        <is>
          <t>Sai 1: dòng liên kết 1,850</t>
        </is>
      </c>
      <c r="B111" s="6" t="inlineStr">
        <is>
          <t>thực tế 1H26 đã là 1,423.4 -&gt; cả năm ~2,847</t>
        </is>
      </c>
      <c r="C111" s="6" t="inlineStr">
        <is>
          <t>REJECTED</t>
        </is>
      </c>
      <c r="D111" s="6" t="inlineStr">
        <is>
          <t>COMPANY</t>
        </is>
      </c>
    </row>
    <row r="112">
      <c r="A112" s="6" t="inlineStr">
        <is>
          <t>Nguyên nhân</t>
        </is>
      </c>
      <c r="B112" s="6" t="inlineStr">
        <is>
          <t>chỉ tính FOX, bỏ sót FRT, Synnex FPT, FPT Online</t>
        </is>
      </c>
      <c r="C112" s="6" t="n"/>
      <c r="D112" s="6" t="inlineStr">
        <is>
          <t>DERIVED</t>
        </is>
      </c>
    </row>
    <row r="113">
      <c r="A113" s="6" t="inlineStr">
        <is>
          <t>Sai 2: thuế suất 12.0%</t>
        </is>
      </c>
      <c r="B113" s="6" t="inlineStr">
        <is>
          <t>đúng là 15.55% — mẫu số cũ thiếu 566 tỷ liên kết</t>
        </is>
      </c>
      <c r="C113" s="6" t="inlineStr">
        <is>
          <t>REJECTED</t>
        </is>
      </c>
      <c r="D113" s="6" t="inlineStr">
        <is>
          <t>COMPANY</t>
        </is>
      </c>
    </row>
    <row r="114">
      <c r="A114" s="6" t="inlineStr">
        <is>
          <t>Hệ quả</t>
        </is>
      </c>
      <c r="B114" s="6" t="inlineStr">
        <is>
          <t>giả định 15% ban đầu của model gần đúng, chỉ sai ở chỗ đánh cả phần LK</t>
        </is>
      </c>
      <c r="C114" s="6" t="n"/>
      <c r="D114" s="6" t="inlineStr">
        <is>
          <t>DERIVED</t>
        </is>
      </c>
    </row>
    <row r="115">
      <c r="A115" s="6" t="inlineStr">
        <is>
          <t>Hai sai số này từng triệt tiêu nhau</t>
        </is>
      </c>
      <c r="B115" s="6" t="inlineStr">
        <is>
          <t>model cũ: biên gộp quá cao bù cho dòng liên kết quá thấp</t>
        </is>
      </c>
      <c r="C115" s="6" t="n"/>
      <c r="D115" s="6" t="inlineStr">
        <is>
          <t>DERIVED</t>
        </is>
      </c>
    </row>
    <row r="116">
      <c r="A116" t="inlineStr">
        <is>
          <t>CÒN TỒN</t>
        </is>
      </c>
      <c r="B116" s="5" t="n"/>
    </row>
    <row r="117">
      <c r="A117" s="6" t="inlineStr">
        <is>
          <t>G14 Bảng cân đối trong model</t>
        </is>
      </c>
      <c r="B117" s="6" t="inlineStr">
        <is>
          <t>tổng TS FY26F 92,112 vs thực tế 30/06/26 73,734</t>
        </is>
      </c>
      <c r="C117" s="6" t="inlineStr">
        <is>
          <t>chưa lập lại</t>
        </is>
      </c>
      <c r="D117" s="6" t="inlineStr">
        <is>
          <t>GAP</t>
        </is>
      </c>
    </row>
    <row r="118">
      <c r="A118" s="6" t="inlineStr">
        <is>
          <t>G15 P/B, BVPS, VCSH, ROE trên slide</t>
        </is>
      </c>
      <c r="B118" s="6" t="inlineStr">
        <is>
          <t>dựa trên BS cũ — chưa tin cậy</t>
        </is>
      </c>
      <c r="C118" s="6" t="n"/>
      <c r="D118" s="6" t="inlineStr">
        <is>
          <t>GAP</t>
        </is>
      </c>
    </row>
    <row r="119">
      <c r="A119" s="6" t="inlineStr">
        <is>
          <t>G16 Số cổ phiếu</t>
        </is>
      </c>
      <c r="B119" s="6" t="inlineStr">
        <is>
          <t>FS: 1,703.5 triệu (EPS 1H26 2,967); model dùng 1,810 triệu</t>
        </is>
      </c>
      <c r="C119" s="6" t="inlineStr">
        <is>
          <t>GAP</t>
        </is>
      </c>
      <c r="D119" s="6" t="inlineStr">
        <is>
          <t>COMPANY</t>
        </is>
      </c>
    </row>
    <row r="120">
      <c r="A120" s="6" t="inlineStr">
        <is>
          <t>G17 Doanh thu FY26F</t>
        </is>
      </c>
      <c r="B120" s="6" t="inlineStr">
        <is>
          <t>model 57,195 giữ nguyên; 1H26 mới đạt 26,269 (45.9%)</t>
        </is>
      </c>
      <c r="C120" s="6" t="inlineStr">
        <is>
          <t>cần rà 2H</t>
        </is>
      </c>
      <c r="D120" s="6" t="inlineStr">
        <is>
          <t>GAP</t>
        </is>
      </c>
    </row>
    <row r="121">
      <c r="A121" s="6" t="inlineStr">
        <is>
          <t>G13 Model chưa recalc</t>
        </is>
      </c>
      <c r="B121" s="6" t="inlineStr">
        <is>
          <t>Excel chưa mở lại; đã bật fullCalcOnLoad</t>
        </is>
      </c>
      <c r="C121" s="6" t="n"/>
      <c r="D121" s="6" t="inlineStr">
        <is>
          <t>GAP</t>
        </is>
      </c>
    </row>
    <row r="123">
      <c r="A123" t="inlineStr">
        <is>
          <t>FPT — HẠ NHỊP DỰ PHÓNG: PHƯƠNG ÁN A "KHÔNG DÒNG NÀO TĂNG TỐC"</t>
        </is>
      </c>
      <c r="B123" s="5" t="n"/>
    </row>
    <row r="124">
      <c r="A124" s="6" t="inlineStr">
        <is>
          <t>Vấn đề được nêu</t>
        </is>
      </c>
      <c r="B124" s="6" t="inlineStr">
        <is>
          <t>vì sao FY28F (+16.4%) cao hơn FY27F (+15.7%)?</t>
        </is>
      </c>
      <c r="C124" s="6" t="n"/>
      <c r="D124" s="6" t="inlineStr">
        <is>
          <t>ANALYST</t>
        </is>
      </c>
    </row>
    <row r="125">
      <c r="A125" s="6" t="inlineStr">
        <is>
          <t>Phân tích nguyên nhân</t>
        </is>
      </c>
      <c r="B125" s="6" t="inlineStr">
        <is>
          <t>toàn bộ +0.75%p nằm ở LN hoạt động lõi (+218 tỷ)</t>
        </is>
      </c>
      <c r="C125" s="6" t="n"/>
      <c r="D125" s="6" t="inlineStr">
        <is>
          <t>DERIVED</t>
        </is>
      </c>
    </row>
    <row r="126">
      <c r="A126" s="6" t="inlineStr">
        <is>
          <t xml:space="preserve">  - do tỷ lệ CPBH+QL giảm 16bp</t>
        </is>
      </c>
      <c r="B126" s="6" t="inlineStr">
        <is>
          <t>17.657% -&gt; 17.496% — là dư âm hiệu chỉnh của tôi</t>
        </is>
      </c>
      <c r="C126" s="6" t="inlineStr">
        <is>
          <t>REJECTED</t>
        </is>
      </c>
      <c r="D126" s="6" t="inlineStr">
        <is>
          <t>MAS</t>
        </is>
      </c>
    </row>
    <row r="127">
      <c r="A127" s="6" t="inlineStr">
        <is>
          <t xml:space="preserve">  - do CNTT nước ngoài tăng tốc</t>
        </is>
      </c>
      <c r="B127" s="6" t="inlineStr">
        <is>
          <t>+16.7% -&gt; +17.7% — giả định có sẵn, không có lý do nêu</t>
        </is>
      </c>
      <c r="C127" s="6" t="inlineStr">
        <is>
          <t>REJECTED</t>
        </is>
      </c>
      <c r="D127" s="6" t="inlineStr">
        <is>
          <t>MODEL</t>
        </is>
      </c>
    </row>
    <row r="128">
      <c r="A128" s="6" t="inlineStr">
        <is>
          <t xml:space="preserve">  - bù trừ bởi LN tài chính chậm lại</t>
        </is>
      </c>
      <c r="B128" s="6" t="inlineStr">
        <is>
          <t>+28.6% -&gt; +17.0% (-124 tỷ)</t>
        </is>
      </c>
      <c r="C128" s="6" t="n"/>
      <c r="D128" s="6" t="inlineStr">
        <is>
          <t>DERIVED</t>
        </is>
      </c>
    </row>
    <row r="129">
      <c r="A129" t="inlineStr">
        <is>
          <t>Giả định phương án A</t>
        </is>
      </c>
      <c r="B129" s="5" t="inlineStr">
        <is>
          <t>FY26F</t>
        </is>
      </c>
      <c r="C129" t="inlineStr">
        <is>
          <t>FY27F</t>
        </is>
      </c>
      <c r="D129" t="inlineStr">
        <is>
          <t>FY28F</t>
        </is>
      </c>
    </row>
    <row r="130">
      <c r="A130" s="6" t="inlineStr">
        <is>
          <t>CNTT nước ngoài</t>
        </is>
      </c>
      <c r="B130" s="6" t="inlineStr">
        <is>
          <t>+14.67%</t>
        </is>
      </c>
      <c r="C130" s="6" t="inlineStr">
        <is>
          <t>+14.67%</t>
        </is>
      </c>
      <c r="D130" s="6" t="inlineStr">
        <is>
          <t>+14.67%</t>
        </is>
      </c>
    </row>
    <row r="131">
      <c r="A131" s="6" t="inlineStr">
        <is>
          <t xml:space="preserve">  (1H26 thực hiện +13.4%)</t>
        </is>
      </c>
      <c r="B131" s="6" t="n"/>
      <c r="C131" s="6" t="n"/>
      <c r="D131" s="6" t="inlineStr">
        <is>
          <t>COMPANY</t>
        </is>
      </c>
    </row>
    <row r="132">
      <c r="A132" s="6" t="inlineStr">
        <is>
          <t>CNTT trong nước</t>
        </is>
      </c>
      <c r="B132" s="6" t="inlineStr">
        <is>
          <t>+12%</t>
        </is>
      </c>
      <c r="C132" s="6" t="inlineStr">
        <is>
          <t>+12%</t>
        </is>
      </c>
      <c r="D132" s="6" t="inlineStr">
        <is>
          <t>+12%</t>
        </is>
      </c>
    </row>
    <row r="133">
      <c r="A133" s="6" t="inlineStr">
        <is>
          <t>Giáo dục, đầu tư &amp; khác</t>
        </is>
      </c>
      <c r="B133" s="6" t="inlineStr">
        <is>
          <t>+5%</t>
        </is>
      </c>
      <c r="C133" s="6" t="inlineStr">
        <is>
          <t>+5%</t>
        </is>
      </c>
      <c r="D133" s="6" t="inlineStr">
        <is>
          <t>+5%</t>
        </is>
      </c>
    </row>
    <row r="134">
      <c r="A134" s="6" t="inlineStr">
        <is>
          <t xml:space="preserve">  (model cũ: +12%/+12% dù 1H26 -2.1%)</t>
        </is>
      </c>
      <c r="B134" s="6" t="n"/>
      <c r="C134" s="6" t="n"/>
      <c r="D134" s="6" t="inlineStr">
        <is>
          <t>REJECTED</t>
        </is>
      </c>
    </row>
    <row r="135">
      <c r="A135" s="6" t="inlineStr">
        <is>
          <t>Biên lợi nhuận gộp</t>
        </is>
      </c>
      <c r="B135" s="6" t="inlineStr">
        <is>
          <t>32.448%</t>
        </is>
      </c>
      <c r="C135" s="6" t="inlineStr">
        <is>
          <t>32.448%</t>
        </is>
      </c>
      <c r="D135" s="6" t="inlineStr">
        <is>
          <t>32.448%</t>
        </is>
      </c>
    </row>
    <row r="136">
      <c r="A136" s="6" t="inlineStr">
        <is>
          <t>CPBH+QL / doanh thu</t>
        </is>
      </c>
      <c r="B136" s="6" t="inlineStr">
        <is>
          <t>17.631%</t>
        </is>
      </c>
      <c r="C136" s="6" t="inlineStr">
        <is>
          <t>17.631%</t>
        </is>
      </c>
      <c r="D136" s="6" t="inlineStr">
        <is>
          <t>17.631%</t>
        </is>
      </c>
    </row>
    <row r="137">
      <c r="A137" s="6" t="inlineStr">
        <is>
          <t xml:space="preserve">  (không còn đòn bẩy hoạt động)</t>
        </is>
      </c>
      <c r="B137" s="6" t="n"/>
      <c r="C137" s="6" t="n"/>
      <c r="D137" s="6" t="inlineStr">
        <is>
          <t>MAS</t>
        </is>
      </c>
    </row>
    <row r="138">
      <c r="A138" s="6" t="inlineStr">
        <is>
          <t>Công ty liên kết</t>
        </is>
      </c>
      <c r="B138" s="6" t="inlineStr">
        <is>
          <t>+14%</t>
        </is>
      </c>
      <c r="C138" s="6" t="inlineStr">
        <is>
          <t>+14%</t>
        </is>
      </c>
      <c r="D138" s="6" t="inlineStr">
        <is>
          <t>+14%</t>
        </is>
      </c>
    </row>
    <row r="139">
      <c r="A139" s="6" t="inlineStr">
        <is>
          <t>Thuế suất ngoài phần liên kết</t>
        </is>
      </c>
      <c r="B139" s="6" t="inlineStr">
        <is>
          <t>15.55%</t>
        </is>
      </c>
      <c r="C139" s="6" t="inlineStr">
        <is>
          <t>15.55%</t>
        </is>
      </c>
      <c r="D139" s="6" t="inlineStr">
        <is>
          <t>15.55%</t>
        </is>
      </c>
    </row>
    <row r="140">
      <c r="A140" t="inlineStr">
        <is>
          <t>Kết quả</t>
        </is>
      </c>
      <c r="B140" s="5" t="inlineStr">
        <is>
          <t>FY26F</t>
        </is>
      </c>
      <c r="C140" t="inlineStr">
        <is>
          <t>FY27F</t>
        </is>
      </c>
      <c r="D140" t="inlineStr">
        <is>
          <t>FY28F</t>
        </is>
      </c>
    </row>
    <row r="141">
      <c r="A141" s="6" t="inlineStr">
        <is>
          <t>Doanh thu (tỷ đồng)</t>
        </is>
      </c>
      <c r="B141" s="6" t="inlineStr">
        <is>
          <t>57,195</t>
        </is>
      </c>
      <c r="C141" s="6" t="inlineStr">
        <is>
          <t>64,690</t>
        </is>
      </c>
      <c r="D141" s="6" t="inlineStr">
        <is>
          <t>73,221</t>
        </is>
      </c>
    </row>
    <row r="142">
      <c r="A142" s="6" t="inlineStr">
        <is>
          <t>LN hoạt động</t>
        </is>
      </c>
      <c r="B142" s="6" t="inlineStr">
        <is>
          <t>8,475</t>
        </is>
      </c>
      <c r="C142" s="6" t="inlineStr">
        <is>
          <t>9,585</t>
        </is>
      </c>
      <c r="D142" s="6" t="inlineStr">
        <is>
          <t>10,849</t>
        </is>
      </c>
    </row>
    <row r="143">
      <c r="A143" s="6" t="inlineStr">
        <is>
          <t>LNTT</t>
        </is>
      </c>
      <c r="B143" s="6" t="inlineStr">
        <is>
          <t>12,321</t>
        </is>
      </c>
      <c r="C143" s="6" t="inlineStr">
        <is>
          <t>14,090</t>
        </is>
      </c>
      <c r="D143" s="6" t="inlineStr">
        <is>
          <t>16,015</t>
        </is>
      </c>
    </row>
    <row r="144">
      <c r="A144" s="6" t="inlineStr">
        <is>
          <t>LNST-CĐTS</t>
        </is>
      </c>
      <c r="B144" s="6" t="inlineStr">
        <is>
          <t>10,848</t>
        </is>
      </c>
      <c r="C144" s="6" t="inlineStr">
        <is>
          <t>12,403</t>
        </is>
      </c>
      <c r="D144" s="6" t="inlineStr">
        <is>
          <t>14,100</t>
        </is>
      </c>
    </row>
    <row r="145">
      <c r="A145" s="6" t="inlineStr">
        <is>
          <t>Tăng trưởng</t>
        </is>
      </c>
      <c r="B145" s="6" t="inlineStr">
        <is>
          <t>+14.6%</t>
        </is>
      </c>
      <c r="C145" s="6" t="inlineStr">
        <is>
          <t>+14.3%</t>
        </is>
      </c>
      <c r="D145" s="6" t="inlineStr">
        <is>
          <t>+13.7%</t>
        </is>
      </c>
    </row>
    <row r="146">
      <c r="A146" s="6" t="inlineStr">
        <is>
          <t>EPS (1,810 triệu cp)</t>
        </is>
      </c>
      <c r="B146" s="6" t="inlineStr">
        <is>
          <t>5,993</t>
        </is>
      </c>
      <c r="C146" s="6" t="inlineStr">
        <is>
          <t>6,853</t>
        </is>
      </c>
      <c r="D146" s="6" t="inlineStr">
        <is>
          <t>7,790</t>
        </is>
      </c>
    </row>
    <row r="147">
      <c r="A147" s="6" t="inlineStr">
        <is>
          <t>P/E tại GMT 78,750</t>
        </is>
      </c>
      <c r="B147" s="6" t="inlineStr">
        <is>
          <t>13.1</t>
        </is>
      </c>
      <c r="C147" s="6" t="inlineStr">
        <is>
          <t>11.5</t>
        </is>
      </c>
      <c r="D147" s="6" t="inlineStr">
        <is>
          <t>10.1</t>
        </is>
      </c>
    </row>
    <row r="148">
      <c r="A148" s="6" t="inlineStr">
        <is>
          <t>Đã cân nhắc nhưng không chọn</t>
        </is>
      </c>
      <c r="B148" s="6" t="inlineStr">
        <is>
          <t>B: +14.6/13.5/11.8 · C: +14.6/12.1/10.2 · giữ nguyên: +14.6/15.8/15.6</t>
        </is>
      </c>
      <c r="C148" s="6" t="n"/>
      <c r="D148" s="6" t="inlineStr">
        <is>
          <t>ANALYST</t>
        </is>
      </c>
    </row>
    <row r="149">
      <c r="A149" s="6" t="inlineStr">
        <is>
          <t>Lý do chọn A</t>
        </is>
      </c>
      <c r="B149" s="6" t="inlineStr">
        <is>
          <t>mọi giả định giữ nguyên mức FY26F — không cải thiện, không xấu đi</t>
        </is>
      </c>
      <c r="C149" s="6" t="n"/>
      <c r="D149" s="6" t="inlineStr">
        <is>
          <t>ANALYST</t>
        </is>
      </c>
    </row>
    <row r="150">
      <c r="A150" s="6" t="inlineStr">
        <is>
          <t>Vì sao vẫn giảm dần</t>
        </is>
      </c>
      <c r="B150" s="6" t="inlineStr">
        <is>
          <t>LN liên kết (+14%) và LN tài chính tăng chậm hơn nền doanh thu</t>
        </is>
      </c>
      <c r="C150" s="6" t="n"/>
      <c r="D150" s="6" t="inlineStr">
        <is>
          <t>DERIVED</t>
        </is>
      </c>
    </row>
    <row r="151">
      <c r="A151" s="6" t="inlineStr">
        <is>
          <t>Ô đã sửa</t>
        </is>
      </c>
      <c r="B151" s="6" t="inlineStr">
        <is>
          <t>Scenarios I11/J11, I30/J30, I45/J45; PL R19/S19, R20/S20, R42/S42, R43/S43</t>
        </is>
      </c>
      <c r="C151" s="6" t="n"/>
      <c r="D151" s="6" t="inlineStr">
        <is>
          <t>MAS</t>
        </is>
      </c>
    </row>
    <row r="152">
      <c r="A152" s="6" t="inlineStr">
        <is>
          <t>Kiểm tra tự động</t>
        </is>
      </c>
      <c r="B152" s="6" t="inlineStr">
        <is>
          <t>verify_model.py 15/15 + check_fpt.py 47/47 đạt</t>
        </is>
      </c>
      <c r="C152" s="6" t="n"/>
      <c r="D152" s="6" t="inlineStr">
        <is>
          <t>CHECK</t>
        </is>
      </c>
    </row>
    <row r="153">
      <c r="A153" s="6" t="inlineStr">
        <is>
          <t>Doanh thu tăng 13.1% -&gt; 13.2%</t>
        </is>
      </c>
      <c r="B153" s="6" t="inlineStr">
        <is>
          <t>chỉ do cơ cấu (CNTT nước ngoài tỷ trọng lớn dần), không phải giả định</t>
        </is>
      </c>
      <c r="C153" s="6" t="n"/>
      <c r="D153" s="6" t="inlineStr">
        <is>
          <t>CHECK</t>
        </is>
      </c>
    </row>
    <row r="155">
      <c r="A155" t="inlineStr">
        <is>
          <t>FPT — LỘ TRÌNH +14.6% / +15.2% / +15.7% (chỉ đạo của analyst)</t>
        </is>
      </c>
      <c r="B155" s="5" t="n"/>
    </row>
    <row r="156">
      <c r="A156" s="6" t="inlineStr">
        <is>
          <t>Yêu cầu</t>
        </is>
      </c>
      <c r="B156" s="6" t="inlineStr">
        <is>
          <t>LNST-CĐTS FY26/27/28 tăng +14.6% / +15.2% / +15.7%</t>
        </is>
      </c>
      <c r="C156" s="6" t="n"/>
      <c r="D156" s="6" t="inlineStr">
        <is>
          <t>ANALYST</t>
        </is>
      </c>
    </row>
    <row r="157">
      <c r="A157" s="6" t="inlineStr">
        <is>
          <t>Lưu ý đã nêu</t>
        </is>
      </c>
      <c r="B157" s="6" t="inlineStr">
        <is>
          <t>lộ trình này tăng tốc trở lại — đúng hình dạng đã cảnh báo ở vòng trước</t>
        </is>
      </c>
      <c r="C157" s="6" t="n"/>
      <c r="D157" s="6" t="inlineStr">
        <is>
          <t>MAS</t>
        </is>
      </c>
    </row>
    <row r="158">
      <c r="A158" s="6" t="inlineStr">
        <is>
          <t>Nguyên tắc khi thực hiện</t>
        </is>
      </c>
      <c r="B158" s="6" t="inlineStr">
        <is>
          <t>KHÔNG nhét chênh lệch vào dòng SG&amp;A; phải có giả định cụ thể gánh</t>
        </is>
      </c>
      <c r="C158" s="6" t="n"/>
      <c r="D158" s="6" t="inlineStr">
        <is>
          <t>MAS</t>
        </is>
      </c>
    </row>
    <row r="159">
      <c r="A159" t="inlineStr">
        <is>
          <t>Cần gì để đạt (đã thử từng phương án)</t>
        </is>
      </c>
      <c r="B159" s="5" t="inlineStr">
        <is>
          <t>FY27F</t>
        </is>
      </c>
      <c r="C159" t="inlineStr">
        <is>
          <t>FY28F</t>
        </is>
      </c>
    </row>
    <row r="160">
      <c r="A160" s="6" t="inlineStr">
        <is>
          <t>Chỉ dùng CNTT nước ngoài (LK +14%, SG&amp;A phẳng)</t>
        </is>
      </c>
      <c r="B160" s="6" t="inlineStr">
        <is>
          <t>+16.5%</t>
        </is>
      </c>
      <c r="C160" s="6" t="inlineStr">
        <is>
          <t>+18.9%</t>
        </is>
      </c>
      <c r="D160" s="6" t="inlineStr">
        <is>
          <t>REJECTED — quá cao</t>
        </is>
      </c>
    </row>
    <row r="161">
      <c r="A161" s="6" t="inlineStr">
        <is>
          <t>Thêm LK lên +16%</t>
        </is>
      </c>
      <c r="B161" s="6" t="inlineStr">
        <is>
          <t>+15.4%</t>
        </is>
      </c>
      <c r="C161" s="6" t="inlineStr">
        <is>
          <t>+17.9%</t>
        </is>
      </c>
      <c r="D161" s="6" t="inlineStr">
        <is>
          <t>REJECTED</t>
        </is>
      </c>
    </row>
    <row r="162">
      <c r="A162" s="6" t="inlineStr">
        <is>
          <t>Thêm LK lên +18%</t>
        </is>
      </c>
      <c r="B162" s="6" t="inlineStr">
        <is>
          <t>+14.2%</t>
        </is>
      </c>
      <c r="C162" s="6" t="inlineStr">
        <is>
          <t>+16.7%</t>
        </is>
      </c>
      <c r="D162" s="6" t="inlineStr">
        <is>
          <t>REJECTED — LK +18% không có căn cứ</t>
        </is>
      </c>
    </row>
    <row r="163">
      <c r="A163" s="6" t="inlineStr">
        <is>
          <t>Chỉ dùng đòn bẩy SG&amp;A</t>
        </is>
      </c>
      <c r="B163" s="6" t="inlineStr">
        <is>
          <t>17.461%</t>
        </is>
      </c>
      <c r="C163" s="6" t="inlineStr">
        <is>
          <t>17.050%</t>
        </is>
      </c>
      <c r="D163" s="6" t="inlineStr">
        <is>
          <t>REJECTED — nén 58bp, chính là lỗi cũ</t>
        </is>
      </c>
    </row>
    <row r="164">
      <c r="A164" s="6" t="inlineStr">
        <is>
          <t>ĐÃ CHỌN — chia đều 3 đòn bẩy</t>
        </is>
      </c>
      <c r="B164" s="6" t="n"/>
      <c r="C164" s="6" t="n"/>
      <c r="D164" s="6" t="inlineStr">
        <is>
          <t>MAS</t>
        </is>
      </c>
    </row>
    <row r="165">
      <c r="A165" t="inlineStr">
        <is>
          <t>Giả định cuối cùng</t>
        </is>
      </c>
      <c r="B165" s="5" t="inlineStr">
        <is>
          <t>FY26F</t>
        </is>
      </c>
      <c r="C165" t="inlineStr">
        <is>
          <t>FY27F</t>
        </is>
      </c>
      <c r="D165" t="inlineStr">
        <is>
          <t>FY28F</t>
        </is>
      </c>
    </row>
    <row r="166">
      <c r="A166" s="6" t="inlineStr">
        <is>
          <t>CNTT nước ngoài</t>
        </is>
      </c>
      <c r="B166" s="6" t="inlineStr">
        <is>
          <t>+14.67%</t>
        </is>
      </c>
      <c r="C166" s="6" t="inlineStr">
        <is>
          <t>+15.5%</t>
        </is>
      </c>
      <c r="D166" s="6" t="inlineStr">
        <is>
          <t>+16.0%</t>
        </is>
      </c>
    </row>
    <row r="167">
      <c r="A167" s="6" t="inlineStr">
        <is>
          <t xml:space="preserve">  (1H26 thực hiện +13.4%; model gốc +16.7%/+17.7%)</t>
        </is>
      </c>
      <c r="B167" s="6" t="n"/>
      <c r="C167" s="6" t="n"/>
      <c r="D167" s="6" t="inlineStr">
        <is>
          <t>COMPANY</t>
        </is>
      </c>
    </row>
    <row r="168">
      <c r="A168" s="6" t="inlineStr">
        <is>
          <t>CNTT trong nước</t>
        </is>
      </c>
      <c r="B168" s="6" t="inlineStr">
        <is>
          <t>+12%</t>
        </is>
      </c>
      <c r="C168" s="6" t="inlineStr">
        <is>
          <t>+12%</t>
        </is>
      </c>
      <c r="D168" s="6" t="inlineStr">
        <is>
          <t>+12%</t>
        </is>
      </c>
    </row>
    <row r="169">
      <c r="A169" s="6" t="inlineStr">
        <is>
          <t>Giáo dục, đầu tư &amp; khác</t>
        </is>
      </c>
      <c r="B169" s="6" t="inlineStr">
        <is>
          <t>+5%</t>
        </is>
      </c>
      <c r="C169" s="6" t="inlineStr">
        <is>
          <t>+5%</t>
        </is>
      </c>
      <c r="D169" s="6" t="inlineStr">
        <is>
          <t>+5%</t>
        </is>
      </c>
    </row>
    <row r="170">
      <c r="A170" s="6" t="inlineStr">
        <is>
          <t>Công ty liên kết</t>
        </is>
      </c>
      <c r="B170" s="6" t="inlineStr">
        <is>
          <t>+14%</t>
        </is>
      </c>
      <c r="C170" s="6" t="inlineStr">
        <is>
          <t>+16%</t>
        </is>
      </c>
      <c r="D170" s="6" t="inlineStr">
        <is>
          <t>+16%</t>
        </is>
      </c>
    </row>
    <row r="171">
      <c r="A171" s="6" t="inlineStr">
        <is>
          <t xml:space="preserve">  (FOX 1H26 +13.9%; FRT/Long Chau tăng nhanh hơn)</t>
        </is>
      </c>
      <c r="B171" s="6" t="n"/>
      <c r="C171" s="6" t="n"/>
      <c r="D171" s="6" t="inlineStr">
        <is>
          <t>ANALYST</t>
        </is>
      </c>
    </row>
    <row r="172">
      <c r="A172" s="6" t="inlineStr">
        <is>
          <t>Biên lợi nhuận gộp</t>
        </is>
      </c>
      <c r="B172" s="6" t="inlineStr">
        <is>
          <t>32.448%</t>
        </is>
      </c>
      <c r="C172" s="6" t="inlineStr">
        <is>
          <t>32.448%</t>
        </is>
      </c>
      <c r="D172" s="6" t="inlineStr">
        <is>
          <t>32.448%</t>
        </is>
      </c>
    </row>
    <row r="173">
      <c r="A173" s="6" t="inlineStr">
        <is>
          <t>CPBH+QL / doanh thu</t>
        </is>
      </c>
      <c r="B173" s="6" t="inlineStr">
        <is>
          <t>17.631%</t>
        </is>
      </c>
      <c r="C173" s="6" t="inlineStr">
        <is>
          <t>17.644%</t>
        </is>
      </c>
      <c r="D173" s="6" t="inlineStr">
        <is>
          <t>17.472%</t>
        </is>
      </c>
    </row>
    <row r="174">
      <c r="A174" s="6" t="inlineStr">
        <is>
          <t xml:space="preserve">  (biên độ 16bp quanh mức 1H26 — không phải đòn bẩy)</t>
        </is>
      </c>
      <c r="B174" s="6" t="n"/>
      <c r="C174" s="6" t="n"/>
      <c r="D174" s="6" t="inlineStr">
        <is>
          <t>CHECK</t>
        </is>
      </c>
    </row>
    <row r="175">
      <c r="A175" s="6" t="inlineStr">
        <is>
          <t>Thuế ngoài phần liên kết</t>
        </is>
      </c>
      <c r="B175" s="6" t="inlineStr">
        <is>
          <t>15.55%</t>
        </is>
      </c>
      <c r="C175" s="6" t="inlineStr">
        <is>
          <t>15.55%</t>
        </is>
      </c>
      <c r="D175" s="6" t="inlineStr">
        <is>
          <t>15.55%</t>
        </is>
      </c>
    </row>
    <row r="176">
      <c r="A176" t="inlineStr">
        <is>
          <t>Kết quả</t>
        </is>
      </c>
      <c r="B176" s="5" t="inlineStr">
        <is>
          <t>FY26F</t>
        </is>
      </c>
      <c r="C176" t="inlineStr">
        <is>
          <t>FY27F</t>
        </is>
      </c>
      <c r="D176" t="inlineStr">
        <is>
          <t>FY28F</t>
        </is>
      </c>
    </row>
    <row r="177">
      <c r="A177" s="6" t="inlineStr">
        <is>
          <t>Doanh thu (tỷ đồng)</t>
        </is>
      </c>
      <c r="B177" s="6" t="inlineStr">
        <is>
          <t>57,195</t>
        </is>
      </c>
      <c r="C177" s="6" t="inlineStr">
        <is>
          <t>65,027</t>
        </is>
      </c>
      <c r="D177" s="6" t="inlineStr">
        <is>
          <t>74,232</t>
        </is>
      </c>
    </row>
    <row r="178">
      <c r="A178" s="6" t="inlineStr">
        <is>
          <t xml:space="preserve">  tăng trưởng</t>
        </is>
      </c>
      <c r="B178" s="6" t="inlineStr">
        <is>
          <t>—</t>
        </is>
      </c>
      <c r="C178" s="6" t="inlineStr">
        <is>
          <t>+13.7%</t>
        </is>
      </c>
      <c r="D178" s="6" t="inlineStr">
        <is>
          <t>+14.2%</t>
        </is>
      </c>
    </row>
    <row r="179">
      <c r="A179" s="6" t="inlineStr">
        <is>
          <t>LN hoạt động</t>
        </is>
      </c>
      <c r="B179" s="6" t="inlineStr">
        <is>
          <t>8,475</t>
        </is>
      </c>
      <c r="C179" s="6" t="inlineStr">
        <is>
          <t>9,626</t>
        </is>
      </c>
      <c r="D179" s="6" t="inlineStr">
        <is>
          <t>11,117</t>
        </is>
      </c>
    </row>
    <row r="180">
      <c r="A180" s="6" t="inlineStr">
        <is>
          <t>LN từ công ty liên kết</t>
        </is>
      </c>
      <c r="B180" s="6" t="inlineStr">
        <is>
          <t>2,847</t>
        </is>
      </c>
      <c r="C180" s="6" t="inlineStr">
        <is>
          <t>3,302</t>
        </is>
      </c>
      <c r="D180" s="6" t="inlineStr">
        <is>
          <t>3,831</t>
        </is>
      </c>
    </row>
    <row r="181">
      <c r="A181" s="6" t="inlineStr">
        <is>
          <t>Lãi tài chính thuần</t>
        </is>
      </c>
      <c r="B181" s="6" t="inlineStr">
        <is>
          <t>830</t>
        </is>
      </c>
      <c r="C181" s="6" t="inlineStr">
        <is>
          <t>1,068</t>
        </is>
      </c>
      <c r="D181" s="6" t="inlineStr">
        <is>
          <t>1,248</t>
        </is>
      </c>
    </row>
    <row r="182">
      <c r="A182" s="6" t="inlineStr">
        <is>
          <t>LNTT</t>
        </is>
      </c>
      <c r="B182" s="6" t="inlineStr">
        <is>
          <t>12,321</t>
        </is>
      </c>
      <c r="C182" s="6" t="inlineStr">
        <is>
          <t>14,189</t>
        </is>
      </c>
      <c r="D182" s="6" t="inlineStr">
        <is>
          <t>16,416</t>
        </is>
      </c>
    </row>
    <row r="183">
      <c r="A183" s="6" t="inlineStr">
        <is>
          <t>LNST-CĐTS</t>
        </is>
      </c>
      <c r="B183" s="6" t="inlineStr">
        <is>
          <t>10,848</t>
        </is>
      </c>
      <c r="C183" s="6" t="inlineStr">
        <is>
          <t>12,497</t>
        </is>
      </c>
      <c r="D183" s="6" t="inlineStr">
        <is>
          <t>14,459</t>
        </is>
      </c>
    </row>
    <row r="184">
      <c r="A184" s="6" t="inlineStr">
        <is>
          <t>Tăng trưởng</t>
        </is>
      </c>
      <c r="B184" s="6" t="inlineStr">
        <is>
          <t>+14.6%</t>
        </is>
      </c>
      <c r="C184" s="6" t="inlineStr">
        <is>
          <t>+15.2%</t>
        </is>
      </c>
      <c r="D184" s="6" t="inlineStr">
        <is>
          <t>+15.7%</t>
        </is>
      </c>
    </row>
    <row r="185">
      <c r="A185" s="6" t="inlineStr">
        <is>
          <t>EPS (1,810 triệu cp)</t>
        </is>
      </c>
      <c r="B185" s="6" t="inlineStr">
        <is>
          <t>5,993</t>
        </is>
      </c>
      <c r="C185" s="6" t="inlineStr">
        <is>
          <t>6,904</t>
        </is>
      </c>
      <c r="D185" s="6" t="inlineStr">
        <is>
          <t>7,988</t>
        </is>
      </c>
    </row>
    <row r="186">
      <c r="A186" s="6" t="inlineStr">
        <is>
          <t>P/E tại GMT 78,750</t>
        </is>
      </c>
      <c r="B186" s="6" t="inlineStr">
        <is>
          <t>13.1</t>
        </is>
      </c>
      <c r="C186" s="6" t="inlineStr">
        <is>
          <t>11.4</t>
        </is>
      </c>
      <c r="D186" s="6" t="inlineStr">
        <is>
          <t>9.9</t>
        </is>
      </c>
    </row>
    <row r="187">
      <c r="A187" s="6" t="inlineStr">
        <is>
          <t>Ô đã sửa</t>
        </is>
      </c>
      <c r="B187" s="6" t="inlineStr">
        <is>
          <t>Scenarios I11/J11, I45/J45; PL R19/S19, R20/S20, R42/S42</t>
        </is>
      </c>
      <c r="C187" s="6" t="n"/>
      <c r="D187" s="6" t="inlineStr">
        <is>
          <t>MAS</t>
        </is>
      </c>
    </row>
    <row r="188">
      <c r="A188" s="6" t="inlineStr">
        <is>
          <t>Kiểm tra tự động</t>
        </is>
      </c>
      <c r="B188" s="6" t="inlineStr">
        <is>
          <t>verify_model.py 14/14 + check_fpt.py 49/49 đạt</t>
        </is>
      </c>
      <c r="C188" s="6" t="n"/>
      <c r="D188" s="6" t="inlineStr">
        <is>
          <t>CHECK</t>
        </is>
      </c>
    </row>
    <row r="189">
      <c r="A189" t="inlineStr">
        <is>
          <t>RỦI RO CỦA LỘ TRÌNH NÀY — cần chuẩn bị khi bị hỏi</t>
        </is>
      </c>
      <c r="B189" s="5" t="n"/>
    </row>
    <row r="190">
      <c r="A190" s="6" t="inlineStr">
        <is>
          <t>R1 CNTT nước ngoài</t>
        </is>
      </c>
      <c r="B190" s="6" t="inlineStr">
        <is>
          <t>+16.0% FY28F so với +13.4% thực hiện 1H26 — cần dữ liệu backlog</t>
        </is>
      </c>
      <c r="C190" s="6" t="inlineStr">
        <is>
          <t>GAP</t>
        </is>
      </c>
      <c r="D190" s="6" t="inlineStr">
        <is>
          <t>ANALYST</t>
        </is>
      </c>
    </row>
    <row r="191">
      <c r="A191" s="6" t="inlineStr">
        <is>
          <t>R2 Liên kết +16%</t>
        </is>
      </c>
      <c r="B191" s="6" t="inlineStr">
        <is>
          <t>cao hơn FOX (+13.9%); phụ thuộc FRT — chưa có BCTC FRT để đối chiếu</t>
        </is>
      </c>
      <c r="C191" s="6" t="inlineStr">
        <is>
          <t>GAP</t>
        </is>
      </c>
      <c r="D191" s="6" t="inlineStr">
        <is>
          <t>ANALYST</t>
        </is>
      </c>
    </row>
    <row r="192">
      <c r="A192" s="6" t="inlineStr">
        <is>
          <t>R3 Giá mục tiêu</t>
        </is>
      </c>
      <c r="B192" s="6" t="inlineStr">
        <is>
          <t>78,750 chưa chạy lại DCF theo lộ trình mới</t>
        </is>
      </c>
      <c r="C192" s="6" t="inlineStr">
        <is>
          <t>GAP</t>
        </is>
      </c>
      <c r="D192" s="6" t="inlineStr">
        <is>
          <t>MAS</t>
        </is>
      </c>
    </row>
    <row r="193">
      <c r="A193" s="6" t="inlineStr">
        <is>
          <t>R4 Bảng cân đối</t>
        </is>
      </c>
      <c r="B193" s="6" t="inlineStr">
        <is>
          <t>vẫn chưa lập lại sau thôi hợp nhất (xem mục G14-G15)</t>
        </is>
      </c>
      <c r="C193" s="6" t="inlineStr">
        <is>
          <t>GAP</t>
        </is>
      </c>
      <c r="D193" s="6" t="inlineStr">
        <is>
          <t>MAS</t>
        </is>
      </c>
    </row>
    <row r="195">
      <c r="A195" t="inlineStr">
        <is>
          <t>FPT — DOANH THU KÝ MỚI: BẰNG CHỨNG CHO GIẢ ĐỊNH CNTT NƯỚC NGOÀI</t>
        </is>
      </c>
      <c r="B195" s="5" t="n"/>
    </row>
    <row r="196">
      <c r="A196" t="inlineStr">
        <is>
          <t>Năm</t>
        </is>
      </c>
      <c r="B196" s="5" t="inlineStr">
        <is>
          <t>Ký mới (tỷ đ)</t>
        </is>
      </c>
      <c r="C196" t="inlineStr">
        <is>
          <t>Doanh thu (tỷ đ)</t>
        </is>
      </c>
      <c r="D196" t="inlineStr">
        <is>
          <t>Ký mới/DT · tích lũy</t>
        </is>
      </c>
    </row>
    <row r="197">
      <c r="A197" s="6" t="inlineStr">
        <is>
          <t>2021</t>
        </is>
      </c>
      <c r="B197" s="6" t="inlineStr">
        <is>
          <t>15,540</t>
        </is>
      </c>
      <c r="C197" s="6" t="inlineStr">
        <is>
          <t>14,540</t>
        </is>
      </c>
      <c r="D197" s="6" t="inlineStr">
        <is>
          <t>1.069 · +1,000</t>
        </is>
      </c>
    </row>
    <row r="198">
      <c r="A198" s="6" t="inlineStr">
        <is>
          <t>2022</t>
        </is>
      </c>
      <c r="B198" s="6" t="inlineStr">
        <is>
          <t>21,590 (+38.9%)</t>
        </is>
      </c>
      <c r="C198" s="6" t="inlineStr">
        <is>
          <t>18,920 (+30.1%)</t>
        </is>
      </c>
      <c r="D198" s="6" t="inlineStr">
        <is>
          <t>1.141 · +2,670</t>
        </is>
      </c>
    </row>
    <row r="199">
      <c r="A199" s="6" t="inlineStr">
        <is>
          <t>2023</t>
        </is>
      </c>
      <c r="B199" s="6" t="inlineStr">
        <is>
          <t>29,720 (+37.7%)</t>
        </is>
      </c>
      <c r="C199" s="6" t="inlineStr">
        <is>
          <t>24,290 (+28.4%)</t>
        </is>
      </c>
      <c r="D199" s="6" t="inlineStr">
        <is>
          <t>1.224 · +5,430</t>
        </is>
      </c>
    </row>
    <row r="200">
      <c r="A200" s="6" t="inlineStr">
        <is>
          <t>2024</t>
        </is>
      </c>
      <c r="B200" s="6" t="inlineStr">
        <is>
          <t>33,590 (+13.0%)</t>
        </is>
      </c>
      <c r="C200" s="6" t="inlineStr">
        <is>
          <t>30,950 (+27.4%)</t>
        </is>
      </c>
      <c r="D200" s="6" t="inlineStr">
        <is>
          <t>1.085 · +2,640</t>
        </is>
      </c>
    </row>
    <row r="201">
      <c r="A201" s="6" t="inlineStr">
        <is>
          <t>2025</t>
        </is>
      </c>
      <c r="B201" s="6" t="inlineStr">
        <is>
          <t>40,640 (+21.0%)</t>
        </is>
      </c>
      <c r="C201" s="6" t="inlineStr">
        <is>
          <t>35,382 (+14.3%)</t>
        </is>
      </c>
      <c r="D201" s="6" t="inlineStr">
        <is>
          <t>1.149 · +5,258</t>
        </is>
      </c>
    </row>
    <row r="202">
      <c r="A202" s="6" t="inlineStr">
        <is>
          <t>1H25</t>
        </is>
      </c>
      <c r="B202" s="6" t="inlineStr">
        <is>
          <t>19,908</t>
        </is>
      </c>
      <c r="C202" s="6" t="inlineStr">
        <is>
          <t>16,668</t>
        </is>
      </c>
      <c r="D202" s="6" t="inlineStr">
        <is>
          <t>1.194 · +3,239</t>
        </is>
      </c>
    </row>
    <row r="203">
      <c r="A203" s="6" t="inlineStr">
        <is>
          <t>1H26</t>
        </is>
      </c>
      <c r="B203" s="6" t="inlineStr">
        <is>
          <t>26,338 (+32.3%)</t>
        </is>
      </c>
      <c r="C203" s="6" t="inlineStr">
        <is>
          <t>18,902 (+13.4%)</t>
        </is>
      </c>
      <c r="D203" s="6" t="inlineStr">
        <is>
          <t>1.393 · +7,436</t>
        </is>
      </c>
    </row>
    <row r="204">
      <c r="A204" s="6" t="inlineStr">
        <is>
          <t>Nguồn 2021-2025</t>
        </is>
      </c>
      <c r="B204" s="6" t="inlineStr">
        <is>
          <t>model Revenue!253-254 (dữ liệu MAS)</t>
        </is>
      </c>
      <c r="C204" s="6" t="n"/>
      <c r="D204" s="6" t="inlineStr">
        <is>
          <t>MODEL</t>
        </is>
      </c>
    </row>
    <row r="205">
      <c r="A205" s="6" t="inlineStr">
        <is>
          <t>Nguồn 1H26</t>
        </is>
      </c>
      <c r="B205" s="6" t="inlineStr">
        <is>
          <t>thông cáo FPT 16/07/2026 (CafeF, Mekong ASEAN, TNCK, Tuổi Trẻ)</t>
        </is>
      </c>
      <c r="C205" s="6" t="n"/>
      <c r="D205" s="6" t="inlineStr">
        <is>
          <t>PRESS</t>
        </is>
      </c>
    </row>
    <row r="206">
      <c r="A206" s="6" t="inlineStr">
        <is>
          <t>Đối chiếu chéo</t>
        </is>
      </c>
      <c r="B206" s="6" t="inlineStr">
        <is>
          <t>model có 4T26: 19,980 (+30.0%) — cùng quỹ đạo, chỉ cũ 2 tháng</t>
        </is>
      </c>
      <c r="C206" s="6" t="inlineStr">
        <is>
          <t>đạt</t>
        </is>
      </c>
      <c r="D206" s="6" t="inlineStr">
        <is>
          <t>CHECK</t>
        </is>
      </c>
    </row>
    <row r="207">
      <c r="A207" t="inlineStr">
        <is>
          <t>PHÁT HIỆN</t>
        </is>
      </c>
      <c r="B207" s="5" t="n"/>
    </row>
    <row r="208">
      <c r="A208" s="6" t="inlineStr">
        <is>
          <t>Ký mới đang tăng tốc</t>
        </is>
      </c>
      <c r="B208" s="6" t="inlineStr">
        <is>
          <t>+13.0% FY24 -&gt; +21.0% FY25 -&gt; +32.3% 1H26</t>
        </is>
      </c>
      <c r="C208" s="6" t="n"/>
      <c r="D208" s="6" t="inlineStr">
        <is>
          <t>DERIVED</t>
        </is>
      </c>
    </row>
    <row r="209">
      <c r="A209" s="6" t="inlineStr">
        <is>
          <t>Doanh thu đang giảm tốc</t>
        </is>
      </c>
      <c r="B209" s="6" t="inlineStr">
        <is>
          <t>+27.4% FY24 -&gt; +14.3% FY25 -&gt; +13.4% 1H26</t>
        </is>
      </c>
      <c r="C209" s="6" t="n"/>
      <c r="D209" s="6" t="inlineStr">
        <is>
          <t>DERIVED</t>
        </is>
      </c>
    </row>
    <row r="210">
      <c r="A210" s="6" t="inlineStr">
        <is>
          <t>Tỷ lệ ký mới/doanh thu 1H26</t>
        </is>
      </c>
      <c r="B210" s="6" t="inlineStr">
        <is>
          <t>1.39 lần — cao nhất chuỗi (FY21-25: 1.07-1.22)</t>
        </is>
      </c>
      <c r="C210" s="6" t="n"/>
      <c r="D210" s="6" t="inlineStr">
        <is>
          <t>DERIVED</t>
        </is>
      </c>
    </row>
    <row r="211">
      <c r="A211" s="6" t="inlineStr">
        <is>
          <t>Tích lũy nửa năm</t>
        </is>
      </c>
      <c r="B211" s="6" t="inlineStr">
        <is>
          <t>+7,436 tỷ, cao hơn cả năm FY25 (+5,258)</t>
        </is>
      </c>
      <c r="C211" s="6" t="n"/>
      <c r="D211" s="6" t="inlineStr">
        <is>
          <t>DERIVED</t>
        </is>
      </c>
    </row>
    <row r="212">
      <c r="A212" s="6" t="inlineStr">
        <is>
          <t>Dự án lớn</t>
        </is>
      </c>
      <c r="B212" s="6" t="inlineStr">
        <is>
          <t>14 dự án trên 10 triệu USD trong 1H26, +27.3% CK</t>
        </is>
      </c>
      <c r="C212" s="6" t="n"/>
      <c r="D212" s="6" t="inlineStr">
        <is>
          <t>PRESS</t>
        </is>
      </c>
    </row>
    <row r="213">
      <c r="A213" s="6" t="inlineStr">
        <is>
          <t>KẾT LUẬN</t>
        </is>
      </c>
      <c r="B213" s="6" t="inlineStr">
        <is>
          <t>giả định CNTT nước ngoài +15.5%/+16.0% có cơ sở dẫn chứng, không còn là khẳng định suông</t>
        </is>
      </c>
      <c r="C213" s="6" t="n"/>
      <c r="D213" s="6" t="inlineStr">
        <is>
          <t>ANALYST</t>
        </is>
      </c>
    </row>
    <row r="214">
      <c r="A214" s="6" t="inlineStr">
        <is>
          <t>Chiều rủi ro</t>
        </is>
      </c>
      <c r="B214" s="6" t="inlineStr">
        <is>
          <t>nếu ký mới giữ nhịp, +15.5%/+16.0% là THẬN TRỌNG, không phải mạo hiểm</t>
        </is>
      </c>
      <c r="C214" s="6" t="n"/>
      <c r="D214" s="6" t="inlineStr">
        <is>
          <t>DERIVED</t>
        </is>
      </c>
    </row>
    <row r="215">
      <c r="A215" t="inlineStr">
        <is>
          <t>CẢNH BÁO — không dùng để định lượng tốc độ tăng</t>
        </is>
      </c>
      <c r="B215" s="5" t="n"/>
    </row>
    <row r="216">
      <c r="A216" s="6" t="inlineStr">
        <is>
          <t>Hệ số chuyển đổi không ổn định</t>
        </is>
      </c>
      <c r="B216" s="6" t="inlineStr">
        <is>
          <t>DT(N+1)/ký mới(N): 1.218 -&gt; 1.125 -&gt; 1.041 -&gt; 1.053 -&gt; 0.998</t>
        </is>
      </c>
      <c r="C216" s="6" t="inlineStr">
        <is>
          <t>REJECTED</t>
        </is>
      </c>
      <c r="D216" s="6" t="inlineStr">
        <is>
          <t>DERIVED</t>
        </is>
      </c>
    </row>
    <row r="217">
      <c r="A217" s="6" t="inlineStr">
        <is>
          <t>Nguyên nhân</t>
        </is>
      </c>
      <c r="B217" s="6" t="inlineStr">
        <is>
          <t>hợp đồng ký dài hạn hơn — tích lũy tăng một phần do kỳ hạn, không chỉ do khối lượng</t>
        </is>
      </c>
      <c r="C217" s="6" t="n"/>
      <c r="D217" s="6" t="inlineStr">
        <is>
          <t>ANALYST</t>
        </is>
      </c>
    </row>
    <row r="218">
      <c r="A218" s="6" t="inlineStr">
        <is>
          <t>Tương quan ký mới(N) -&gt; DT(N+1)</t>
        </is>
      </c>
      <c r="B218" s="6" t="inlineStr">
        <is>
          <t>0.60 với n=4 — không đủ để dùng làm mô hình</t>
        </is>
      </c>
      <c r="C218" s="6" t="inlineStr">
        <is>
          <t>REJECTED</t>
        </is>
      </c>
      <c r="D218" s="6" t="inlineStr">
        <is>
          <t>DERIVED</t>
        </is>
      </c>
    </row>
    <row r="219">
      <c r="A219" s="6" t="inlineStr">
        <is>
          <t>Mức tích lũy tuyệt đối vô nghĩa</t>
        </is>
      </c>
      <c r="B219" s="6" t="inlineStr">
        <is>
          <t>phụ thuộc mốc bắt đầu cộng dồn (2021); chỉ dùng phần THAY ĐỔI</t>
        </is>
      </c>
      <c r="C219" s="6" t="n"/>
      <c r="D219" s="6" t="inlineStr">
        <is>
          <t>ANALYST</t>
        </is>
      </c>
    </row>
    <row r="220">
      <c r="A220" s="6" t="inlineStr">
        <is>
          <t>Yếu tố tỷ giá</t>
        </is>
      </c>
      <c r="B220" s="6" t="inlineStr">
        <is>
          <t>ký mới bằng JPY/USD quy đổi VND — trộn khối lượng và tỷ giá</t>
        </is>
      </c>
      <c r="C220" s="6" t="inlineStr">
        <is>
          <t>GAP</t>
        </is>
      </c>
      <c r="D220" s="6" t="inlineStr">
        <is>
          <t>ANALYST</t>
        </is>
      </c>
    </row>
    <row r="221">
      <c r="A221" s="6" t="inlineStr">
        <is>
          <t>Đã sửa trên slide</t>
        </is>
      </c>
      <c r="B221" s="6" t="inlineStr">
        <is>
          <t>đoạn phân khúc EN/VN + Stock Pick E7; KHÔNG đổi con số dự phóng</t>
        </is>
      </c>
      <c r="C221" s="6" t="n"/>
      <c r="D221" s="6" t="inlineStr">
        <is>
          <t>MAS</t>
        </is>
      </c>
    </row>
    <row r="223">
      <c r="A223" t="inlineStr">
        <is>
          <t>FPT — CHẠY LẠI DCF (chi phí nợ 9.0%)</t>
        </is>
      </c>
      <c r="B223" s="5" t="n"/>
    </row>
    <row r="224">
      <c r="A224" s="6" t="inlineStr">
        <is>
          <t>Thay đổi của analyst</t>
        </is>
      </c>
      <c r="B224" s="6" t="inlineStr">
        <is>
          <t>Valuation!C18 chi phí nợ 11.5% -&gt; 9.0%</t>
        </is>
      </c>
      <c r="C224" s="6" t="n"/>
      <c r="D224" s="6" t="inlineStr">
        <is>
          <t>ANALYST</t>
        </is>
      </c>
    </row>
    <row r="225">
      <c r="A225" s="6" t="inlineStr">
        <is>
          <t>Chi phí nợ thực tế 1H26</t>
        </is>
      </c>
      <c r="B225" s="6" t="inlineStr">
        <is>
          <t>392.0 lãi vay / 19,761 dư nợ bình quân = 3.97%</t>
        </is>
      </c>
      <c r="C225" s="6" t="n"/>
      <c r="D225" s="6" t="inlineStr">
        <is>
          <t>COMPANY</t>
        </is>
      </c>
    </row>
    <row r="226">
      <c r="A226" t="inlineStr">
        <is>
          <t>Tình trạng sheet Valuation trước khi chạy</t>
        </is>
      </c>
      <c r="B226" s="5" t="n"/>
    </row>
    <row r="227">
      <c r="A227" s="6" t="inlineStr">
        <is>
          <t>Kết quả của chính sheet</t>
        </is>
      </c>
      <c r="B227" s="6" t="inlineStr">
        <is>
          <t>106,668đ/cp — KHÔNG khớp giá mục tiêu 78,750 đã công bố</t>
        </is>
      </c>
      <c r="C227" s="6" t="inlineStr">
        <is>
          <t>REJECTED</t>
        </is>
      </c>
      <c r="D227" s="6" t="inlineStr">
        <is>
          <t>MODEL</t>
        </is>
      </c>
    </row>
    <row r="228">
      <c r="A228" s="6" t="inlineStr">
        <is>
          <t>Nợ ròng dùng cột FY24</t>
        </is>
      </c>
      <c r="B228" s="6" t="inlineStr">
        <is>
          <t>BS!O6/O7/O50/O53 — phải là FY26F</t>
        </is>
      </c>
      <c r="C228" s="6" t="inlineStr">
        <is>
          <t>REJECTED</t>
        </is>
      </c>
      <c r="D228" s="6" t="inlineStr">
        <is>
          <t>MODEL</t>
        </is>
      </c>
    </row>
    <row r="229">
      <c r="A229" s="6" t="inlineStr">
        <is>
          <t xml:space="preserve">  tiền ròng dùng 16,153</t>
        </is>
      </c>
      <c r="B229" s="6" t="inlineStr">
        <is>
          <t>thực tế 30/06/26 là 10,523</t>
        </is>
      </c>
      <c r="C229" s="6" t="inlineStr">
        <is>
          <t>REJECTED</t>
        </is>
      </c>
      <c r="D229" s="6" t="inlineStr">
        <is>
          <t>COMPANY</t>
        </is>
      </c>
    </row>
    <row r="230">
      <c r="A230" s="6" t="inlineStr">
        <is>
          <t>Capex FY26F dương +349</t>
        </is>
      </c>
      <c r="B230" s="6" t="inlineStr">
        <is>
          <t>tức là bán tài sản ròng — vô lý</t>
        </is>
      </c>
      <c r="C230" s="6" t="inlineStr">
        <is>
          <t>REJECTED</t>
        </is>
      </c>
      <c r="D230" s="6" t="inlineStr">
        <is>
          <t>MODEL</t>
        </is>
      </c>
    </row>
    <row r="231">
      <c r="A231" s="6" t="inlineStr">
        <is>
          <t>Terminal g cache 2.5%</t>
        </is>
      </c>
      <c r="B231" s="6" t="inlineStr">
        <is>
          <t>ô nhập C7 = 1.5%</t>
        </is>
      </c>
      <c r="C231" s="6" t="inlineStr">
        <is>
          <t>REJECTED</t>
        </is>
      </c>
      <c r="D231" s="6" t="inlineStr">
        <is>
          <t>MODEL</t>
        </is>
      </c>
    </row>
    <row r="232">
      <c r="A232" s="6" t="inlineStr">
        <is>
          <t>Phần FCFE</t>
        </is>
      </c>
      <c r="B232" s="6" t="inlineStr">
        <is>
          <t>toàn bộ #REF!</t>
        </is>
      </c>
      <c r="C232" s="6" t="inlineStr">
        <is>
          <t>REJECTED</t>
        </is>
      </c>
      <c r="D232" s="6" t="inlineStr">
        <is>
          <t>MODEL</t>
        </is>
      </c>
    </row>
    <row r="233">
      <c r="A233" s="6" t="inlineStr">
        <is>
          <t>KẾT LUẬN</t>
        </is>
      </c>
      <c r="B233" s="6" t="inlineStr">
        <is>
          <t>không thể "chạy lại" — phải dựng lại</t>
        </is>
      </c>
      <c r="C233" s="6" t="n"/>
      <c r="D233" s="6" t="inlineStr">
        <is>
          <t>ANALYST</t>
        </is>
      </c>
    </row>
    <row r="234">
      <c r="A234" t="inlineStr">
        <is>
          <t>Cấu trúc dựng lại — tổng của các phần</t>
        </is>
      </c>
      <c r="B234" s="5" t="n"/>
    </row>
    <row r="235">
      <c r="A235" s="6" t="inlineStr">
        <is>
          <t>Ngày định giá</t>
        </is>
      </c>
      <c r="B235" s="6" t="inlineStr">
        <is>
          <t>30/06/2026 (theo BCTC đã nộp)</t>
        </is>
      </c>
      <c r="C235" s="6" t="n"/>
      <c r="D235" s="6" t="inlineStr">
        <is>
          <t>COMPANY</t>
        </is>
      </c>
    </row>
    <row r="236">
      <c r="A236" s="6">
        <f> PV(FCFF hoạt động lõi) + LK + tiền ròng</f>
        <v/>
      </c>
      <c r="B236" s="6" t="inlineStr">
        <is>
          <t>đúng cấu trúc sau khi FOX thành liên kết</t>
        </is>
      </c>
      <c r="C236" s="6" t="n"/>
      <c r="D236" s="6" t="inlineStr">
        <is>
          <t>ANALYST</t>
        </is>
      </c>
    </row>
    <row r="237">
      <c r="A237" s="6" t="inlineStr">
        <is>
          <t>EBIT lõi FY26-28F</t>
        </is>
      </c>
      <c r="B237" s="6" t="inlineStr">
        <is>
          <t>8,475 / 9,626 / 11,117</t>
        </is>
      </c>
      <c r="C237" s="6" t="inlineStr">
        <is>
          <t>từ P&amp;L đã dựng lại</t>
        </is>
      </c>
      <c r="D237" s="6" t="inlineStr">
        <is>
          <t>MAS</t>
        </is>
      </c>
    </row>
    <row r="238">
      <c r="A238" s="6" t="inlineStr">
        <is>
          <t>Thuế</t>
        </is>
      </c>
      <c r="B238" s="6" t="inlineStr">
        <is>
          <t>15.55%</t>
        </is>
      </c>
      <c r="C238" s="6" t="inlineStr">
        <is>
          <t>1H26 thực tế</t>
        </is>
      </c>
      <c r="D238" s="6" t="inlineStr">
        <is>
          <t>COMPANY</t>
        </is>
      </c>
    </row>
    <row r="239">
      <c r="A239" s="6" t="inlineStr">
        <is>
          <t>Tiền ròng</t>
        </is>
      </c>
      <c r="B239" s="6" t="inlineStr">
        <is>
          <t>10,523</t>
        </is>
      </c>
      <c r="C239" s="6" t="inlineStr">
        <is>
          <t>30/06/2026 đã nộp</t>
        </is>
      </c>
      <c r="D239" s="6" t="inlineStr">
        <is>
          <t>COMPANY</t>
        </is>
      </c>
    </row>
    <row r="240">
      <c r="A240" s="6" t="inlineStr">
        <is>
          <t>Công ty liên kết</t>
        </is>
      </c>
      <c r="B240" s="6" t="inlineStr">
        <is>
          <t>9,995 theo giá trị ghi sổ</t>
        </is>
      </c>
      <c r="C240" s="6" t="inlineStr">
        <is>
          <t>30/06/2026, TM 17</t>
        </is>
      </c>
      <c r="D240" s="6" t="inlineStr">
        <is>
          <t>COMPANY</t>
        </is>
      </c>
    </row>
    <row r="241">
      <c r="A241" s="6" t="inlineStr">
        <is>
          <t>Số cổ phiếu</t>
        </is>
      </c>
      <c r="B241" s="6" t="inlineStr">
        <is>
          <t>1,703,507,121</t>
        </is>
      </c>
      <c r="C241" s="6" t="inlineStr">
        <is>
          <t>TM 24</t>
        </is>
      </c>
      <c r="D241" s="6" t="inlineStr">
        <is>
          <t>COMPANY</t>
        </is>
      </c>
    </row>
    <row r="242">
      <c r="A242" s="6" t="inlineStr">
        <is>
          <t>Chi phí vốn CSH</t>
        </is>
      </c>
      <c r="B242" s="6" t="inlineStr">
        <is>
          <t>13.27% (Rf 4.3% + ERP 8.966%)</t>
        </is>
      </c>
      <c r="C242" s="6" t="n"/>
      <c r="D242" s="6" t="inlineStr">
        <is>
          <t>MAS</t>
        </is>
      </c>
    </row>
    <row r="243">
      <c r="A243" s="6" t="inlineStr">
        <is>
          <t>Trọng số</t>
        </is>
      </c>
      <c r="B243" s="6" t="inlineStr">
        <is>
          <t>VCSH sổ sách 68.4% / nợ 31.6%</t>
        </is>
      </c>
      <c r="C243" s="6" t="inlineStr">
        <is>
          <t>theo quy ước của model</t>
        </is>
      </c>
      <c r="D243" s="6" t="inlineStr">
        <is>
          <t>MAS</t>
        </is>
      </c>
    </row>
    <row r="244">
      <c r="A244" s="6" t="inlineStr">
        <is>
          <t>WACC</t>
        </is>
      </c>
      <c r="B244" s="6" t="inlineStr">
        <is>
          <t>11.47% (từ 12.14%)</t>
        </is>
      </c>
      <c r="C244" s="6" t="n"/>
      <c r="D244" s="6" t="inlineStr">
        <is>
          <t>DERIVED</t>
        </is>
      </c>
    </row>
    <row r="245">
      <c r="A245" s="6" t="inlineStr">
        <is>
          <t>Terminal g</t>
        </is>
      </c>
      <c r="B245" s="6" t="inlineStr">
        <is>
          <t>1.5%</t>
        </is>
      </c>
      <c r="C245" s="6" t="n"/>
      <c r="D245" s="6" t="inlineStr">
        <is>
          <t>MAS</t>
        </is>
      </c>
    </row>
    <row r="246">
      <c r="A246" s="6" t="inlineStr">
        <is>
          <t>ƯỚC LƯỢNG — không có nguồn</t>
        </is>
      </c>
      <c r="B246" s="6" t="inlineStr">
        <is>
          <t>capex 5.0% DT · KH 4.0% DT · vốn lưu động 12% mức tăng DT</t>
        </is>
      </c>
      <c r="C246" s="6" t="inlineStr">
        <is>
          <t>GAP</t>
        </is>
      </c>
      <c r="D246" s="6" t="inlineStr">
        <is>
          <t>ANALYST</t>
        </is>
      </c>
    </row>
    <row r="247">
      <c r="A247" s="6" t="inlineStr">
        <is>
          <t>Lý do phải ước lượng</t>
        </is>
      </c>
      <c r="B247" s="6" t="inlineStr">
        <is>
          <t>BS!229-245 vẫn còn FPT Telecom; BCTC quý không có LCTT</t>
        </is>
      </c>
      <c r="C247" s="6" t="n"/>
      <c r="D247" s="6" t="inlineStr">
        <is>
          <t>ANALYST</t>
        </is>
      </c>
    </row>
    <row r="248">
      <c r="A248" t="inlineStr">
        <is>
          <t>Kết quả</t>
        </is>
      </c>
      <c r="B248" s="5" t="n"/>
    </row>
    <row r="249">
      <c r="A249" s="6" t="inlineStr">
        <is>
          <t>PV dòng tiền 2H26-FY28F</t>
        </is>
      </c>
      <c r="B249" s="6" t="inlineStr">
        <is>
          <t>15,037</t>
        </is>
      </c>
      <c r="C249" s="6" t="n"/>
      <c r="D249" s="6" t="inlineStr">
        <is>
          <t>DERIVED</t>
        </is>
      </c>
    </row>
    <row r="250">
      <c r="A250" s="6" t="inlineStr">
        <is>
          <t>PV giá trị cuối</t>
        </is>
      </c>
      <c r="B250" s="6" t="inlineStr">
        <is>
          <t>61,765 (80% EV)</t>
        </is>
      </c>
      <c r="C250" s="6" t="n"/>
      <c r="D250" s="6" t="inlineStr">
        <is>
          <t>DERIVED</t>
        </is>
      </c>
    </row>
    <row r="251">
      <c r="A251" s="6" t="inlineStr">
        <is>
          <t>Giá trị vốn CSH</t>
        </is>
      </c>
      <c r="B251" s="6" t="inlineStr">
        <is>
          <t>97,319</t>
        </is>
      </c>
      <c r="C251" s="6" t="n"/>
      <c r="D251" s="6" t="inlineStr">
        <is>
          <t>DERIVED</t>
        </is>
      </c>
    </row>
    <row r="252">
      <c r="A252" s="6" t="inlineStr">
        <is>
          <t>GIÁ TRỊ MỖI CỔ PHẦN</t>
        </is>
      </c>
      <c r="B252" s="6" t="inlineStr">
        <is>
          <t>57,129 đ</t>
        </is>
      </c>
      <c r="C252" s="6" t="n"/>
      <c r="D252" s="6" t="inlineStr">
        <is>
          <t>DERIVED</t>
        </is>
      </c>
    </row>
    <row r="253">
      <c r="A253" s="6" t="inlineStr">
        <is>
          <t>So với thị giá 62,900</t>
        </is>
      </c>
      <c r="B253" s="6" t="inlineStr">
        <is>
          <t>-9.2%</t>
        </is>
      </c>
      <c r="C253" s="6" t="n"/>
      <c r="D253" s="6" t="inlineStr">
        <is>
          <t>DERIVED</t>
        </is>
      </c>
    </row>
    <row r="254">
      <c r="A254" s="6" t="inlineStr">
        <is>
          <t>So với GMT công bố 78,750</t>
        </is>
      </c>
      <c r="B254" s="6" t="inlineStr">
        <is>
          <t>-27.5%</t>
        </is>
      </c>
      <c r="C254" s="6" t="n"/>
      <c r="D254" s="6" t="inlineStr">
        <is>
          <t>DERIVED</t>
        </is>
      </c>
    </row>
    <row r="255">
      <c r="A255" s="6" t="inlineStr">
        <is>
          <t>Riêng thay đổi chi phí nợ</t>
        </is>
      </c>
      <c r="B255" s="6" t="inlineStr">
        <is>
          <t>+2,746đ (+5.0%) — làm TĂNG giá trị</t>
        </is>
      </c>
      <c r="C255" s="6" t="inlineStr">
        <is>
          <t>CHECK</t>
        </is>
      </c>
      <c r="D255" s="6" t="inlineStr">
        <is>
          <t>DERIVED</t>
        </is>
      </c>
    </row>
    <row r="256">
      <c r="A256" s="6" t="inlineStr">
        <is>
          <t>Khoảng nhạy capex 4.0-6.0%</t>
        </is>
      </c>
      <c r="B256" s="6" t="inlineStr">
        <is>
          <t>52,687 - 61,570 đ</t>
        </is>
      </c>
      <c r="C256" s="6" t="n"/>
      <c r="D256" s="6" t="inlineStr">
        <is>
          <t>DERIVED</t>
        </is>
      </c>
    </row>
    <row r="257">
      <c r="A257" s="6" t="inlineStr">
        <is>
          <t>Khoảng nhạy WACC ±1%, g 0.5-2.5%</t>
        </is>
      </c>
      <c r="B257" s="6" t="inlineStr">
        <is>
          <t>50,148 - 67,603 đ</t>
        </is>
      </c>
      <c r="C257" s="6" t="n"/>
      <c r="D257" s="6" t="inlineStr">
        <is>
          <t>DERIVED</t>
        </is>
      </c>
    </row>
    <row r="258">
      <c r="A258" s="6" t="inlineStr">
        <is>
          <t>LK theo thị giá 1.0x-2.5x sổ sách</t>
        </is>
      </c>
      <c r="B258" s="6" t="inlineStr">
        <is>
          <t>57,129 - 65,929 đ</t>
        </is>
      </c>
      <c r="C258" s="6" t="inlineStr">
        <is>
          <t>FOX/FRT/FOC đều niêm yết</t>
        </is>
      </c>
      <c r="D258" s="6" t="inlineStr">
        <is>
          <t>GAP</t>
        </is>
      </c>
    </row>
    <row r="259">
      <c r="A259" t="inlineStr">
        <is>
          <t>HÀM Ý — CHƯA THỰC HIỆN</t>
        </is>
      </c>
      <c r="B259" s="5" t="n"/>
    </row>
    <row r="260">
      <c r="A260" s="6" t="inlineStr">
        <is>
          <t>GMT 78,750 hiện tại</t>
        </is>
      </c>
      <c r="B260" s="6" t="inlineStr">
        <is>
          <t>không có chỗ nào trong file tái lập được con số này</t>
        </is>
      </c>
      <c r="C260" s="6" t="inlineStr">
        <is>
          <t>GAP</t>
        </is>
      </c>
      <c r="D260" s="6" t="inlineStr">
        <is>
          <t>ANALYST</t>
        </is>
      </c>
    </row>
    <row r="261">
      <c r="A261" s="6" t="inlineStr">
        <is>
          <t>Nếu lấy 57,129</t>
        </is>
      </c>
      <c r="B261" s="6" t="inlineStr">
        <is>
          <t>thấp hơn thị giá -&gt; khuyến nghị chuyển từ MUA sang NẮM GIỮ/BÁN</t>
        </is>
      </c>
      <c r="C261" s="6" t="inlineStr">
        <is>
          <t>GAP</t>
        </is>
      </c>
      <c r="D261" s="6" t="inlineStr">
        <is>
          <t>ANALYST</t>
        </is>
      </c>
    </row>
    <row r="262">
      <c r="A262" s="6" t="inlineStr">
        <is>
          <t>Chưa cascade</t>
        </is>
      </c>
      <c r="B262" s="6" t="inlineStr">
        <is>
          <t>giá mục tiêu và khuyến nghị trên slide GIỮ NGUYÊN chờ quyết định</t>
        </is>
      </c>
      <c r="C262" s="6" t="n"/>
      <c r="D262" s="6" t="inlineStr">
        <is>
          <t>MAS</t>
        </is>
      </c>
    </row>
    <row r="263">
      <c r="A263" s="6" t="inlineStr">
        <is>
          <t>Việc cần làm trước</t>
        </is>
      </c>
      <c r="B263" s="6" t="inlineStr">
        <is>
          <t>(1) lập lại BS (2) định giá LK theo thị giá (3) chốt capex</t>
        </is>
      </c>
      <c r="C263" s="6" t="n"/>
      <c r="D263" s="6" t="inlineStr">
        <is>
          <t>ANALYST</t>
        </is>
      </c>
    </row>
    <row r="265">
      <c r="A265" t="inlineStr">
        <is>
          <t>SLIDE VIẾT LẠI THEO MODEL GỐC (FPT_2Q26.xlsx, analyst tải lên 03/08)</t>
        </is>
      </c>
      <c r="B265" s="5" t="n"/>
    </row>
    <row r="266">
      <c r="A266" s="6" t="inlineStr">
        <is>
          <t>Quyết định</t>
        </is>
      </c>
      <c r="B266" s="6" t="inlineStr">
        <is>
          <t>analyst chọn: slide lấy theo model gốc, KHÔNG dùng bản chỉnh theo BCTC</t>
        </is>
      </c>
      <c r="C266" s="6" t="n"/>
      <c r="D266" s="6" t="inlineStr">
        <is>
          <t>ANALYST</t>
        </is>
      </c>
    </row>
    <row r="267">
      <c r="A267" s="6" t="inlineStr">
        <is>
          <t>Trạng thái file</t>
        </is>
      </c>
      <c r="B267" s="6" t="inlineStr">
        <is>
          <t>đã được Excel tính lại; chi phí nợ 9.0%; các giá trị là số sống</t>
        </is>
      </c>
      <c r="C267" s="6" t="inlineStr">
        <is>
          <t>đạt</t>
        </is>
      </c>
      <c r="D267" s="6" t="inlineStr">
        <is>
          <t>CHECK</t>
        </is>
      </c>
    </row>
    <row r="268">
      <c r="A268" t="inlineStr">
        <is>
          <t>Chỉ tiêu</t>
        </is>
      </c>
      <c r="B268" s="5" t="inlineStr">
        <is>
          <t>FY26F</t>
        </is>
      </c>
      <c r="C268" t="inlineStr">
        <is>
          <t>FY27F</t>
        </is>
      </c>
      <c r="D268" t="inlineStr">
        <is>
          <t>FY28F</t>
        </is>
      </c>
    </row>
    <row r="269">
      <c r="A269" s="6" t="inlineStr">
        <is>
          <t>Doanh thu</t>
        </is>
      </c>
      <c r="B269" s="6" t="inlineStr">
        <is>
          <t>57,284</t>
        </is>
      </c>
      <c r="C269" s="6" t="inlineStr">
        <is>
          <t>66,048</t>
        </is>
      </c>
      <c r="D269" s="6" t="inlineStr">
        <is>
          <t>76,654</t>
        </is>
      </c>
    </row>
    <row r="270">
      <c r="A270" s="6" t="inlineStr">
        <is>
          <t>LN hoạt động</t>
        </is>
      </c>
      <c r="B270" s="6" t="inlineStr">
        <is>
          <t>9,807</t>
        </is>
      </c>
      <c r="C270" s="6" t="inlineStr">
        <is>
          <t>11,044</t>
        </is>
      </c>
      <c r="D270" s="6" t="inlineStr">
        <is>
          <t>13,053</t>
        </is>
      </c>
    </row>
    <row r="271">
      <c r="A271" s="6" t="inlineStr">
        <is>
          <t>LNTT</t>
        </is>
      </c>
      <c r="B271" s="6" t="inlineStr">
        <is>
          <t>13,070</t>
        </is>
      </c>
      <c r="C271" s="6" t="inlineStr">
        <is>
          <t>15,159</t>
        </is>
      </c>
      <c r="D271" s="6" t="inlineStr">
        <is>
          <t>17,671</t>
        </is>
      </c>
    </row>
    <row r="272">
      <c r="A272" s="6" t="inlineStr">
        <is>
          <t>LNST-CĐTS</t>
        </is>
      </c>
      <c r="B272" s="6" t="inlineStr">
        <is>
          <t>10,944</t>
        </is>
      </c>
      <c r="C272" s="6" t="inlineStr">
        <is>
          <t>12,674</t>
        </is>
      </c>
      <c r="D272" s="6" t="inlineStr">
        <is>
          <t>14,774</t>
        </is>
      </c>
    </row>
    <row r="273">
      <c r="A273" s="6" t="inlineStr">
        <is>
          <t>Tăng trưởng</t>
        </is>
      </c>
      <c r="B273" s="6" t="inlineStr">
        <is>
          <t>+15.6%</t>
        </is>
      </c>
      <c r="C273" s="6" t="inlineStr">
        <is>
          <t>+15.8%</t>
        </is>
      </c>
      <c r="D273" s="6" t="inlineStr">
        <is>
          <t>+16.6%</t>
        </is>
      </c>
    </row>
    <row r="274">
      <c r="A274" s="6" t="inlineStr">
        <is>
          <t>EPS (1,703.5 triệu cp)</t>
        </is>
      </c>
      <c r="B274" s="6" t="inlineStr">
        <is>
          <t>6,424</t>
        </is>
      </c>
      <c r="C274" s="6" t="inlineStr">
        <is>
          <t>7,440</t>
        </is>
      </c>
      <c r="D274" s="6" t="inlineStr">
        <is>
          <t>8,673</t>
        </is>
      </c>
    </row>
    <row r="275">
      <c r="A275" s="6" t="inlineStr">
        <is>
          <t>P/E tại GMT</t>
        </is>
      </c>
      <c r="B275" s="6" t="inlineStr">
        <is>
          <t>13.7</t>
        </is>
      </c>
      <c r="C275" s="6" t="inlineStr">
        <is>
          <t>11.8</t>
        </is>
      </c>
      <c r="D275" s="6" t="inlineStr">
        <is>
          <t>10.1</t>
        </is>
      </c>
    </row>
    <row r="276">
      <c r="A276" s="6" t="inlineStr">
        <is>
          <t>P/B tại GMT</t>
        </is>
      </c>
      <c r="B276" s="6" t="inlineStr">
        <is>
          <t>3.5</t>
        </is>
      </c>
      <c r="C276" s="6" t="inlineStr">
        <is>
          <t>3.0</t>
        </is>
      </c>
      <c r="D276" s="6" t="inlineStr">
        <is>
          <t>2.5</t>
        </is>
      </c>
    </row>
    <row r="277">
      <c r="A277" s="6" t="inlineStr">
        <is>
          <t>ROE</t>
        </is>
      </c>
      <c r="B277" s="6" t="inlineStr">
        <is>
          <t>27.6%</t>
        </is>
      </c>
      <c r="C277" s="6" t="inlineStr">
        <is>
          <t>27.1%</t>
        </is>
      </c>
      <c r="D277" s="6" t="inlineStr">
        <is>
          <t>26.5%</t>
        </is>
      </c>
    </row>
    <row r="278">
      <c r="A278" t="inlineStr">
        <is>
          <t>Định giá</t>
        </is>
      </c>
      <c r="B278" s="5" t="n"/>
    </row>
    <row r="279">
      <c r="A279" s="6" t="inlineStr">
        <is>
          <t>Giá mục tiêu</t>
        </is>
      </c>
      <c r="B279" s="6" t="inlineStr">
        <is>
          <t>87,950đ (model: 87,946, làm tròn 50)</t>
        </is>
      </c>
      <c r="C279" s="6" t="inlineStr">
        <is>
          <t>từ 78,750đ</t>
        </is>
      </c>
      <c r="D279" s="6" t="inlineStr">
        <is>
          <t>MODEL</t>
        </is>
      </c>
    </row>
    <row r="280">
      <c r="A280" s="6" t="inlineStr">
        <is>
          <t>Thị giá</t>
        </is>
      </c>
      <c r="B280" s="6" t="inlineStr">
        <is>
          <t>71,700đ</t>
        </is>
      </c>
      <c r="C280" s="6" t="inlineStr">
        <is>
          <t>Valuation!J23</t>
        </is>
      </c>
      <c r="D280" s="6" t="inlineStr">
        <is>
          <t>MODEL</t>
        </is>
      </c>
    </row>
    <row r="281">
      <c r="A281" s="6" t="inlineStr">
        <is>
          <t>Tiềm năng tăng</t>
        </is>
      </c>
      <c r="B281" s="6" t="inlineStr">
        <is>
          <t>+22.7%</t>
        </is>
      </c>
      <c r="C281" s="6" t="n"/>
      <c r="D281" s="6" t="inlineStr">
        <is>
          <t>DERIVED</t>
        </is>
      </c>
    </row>
    <row r="282">
      <c r="A282" s="6" t="inlineStr">
        <is>
          <t>Chi phí nợ</t>
        </is>
      </c>
      <c r="B282" s="6" t="inlineStr">
        <is>
          <t>9.0% (từ 11.5%)</t>
        </is>
      </c>
      <c r="C282" s="6" t="inlineStr">
        <is>
          <t>thực tế 1H26: 4.0%</t>
        </is>
      </c>
      <c r="D282" s="6" t="inlineStr">
        <is>
          <t>ANALYST</t>
        </is>
      </c>
    </row>
    <row r="283">
      <c r="A283" s="6" t="inlineStr">
        <is>
          <t>WACC</t>
        </is>
      </c>
      <c r="B283" s="6" t="inlineStr">
        <is>
          <t>11.39% (từ 12.08%)</t>
        </is>
      </c>
      <c r="C283" s="6" t="n"/>
      <c r="D283" s="6" t="inlineStr">
        <is>
          <t>MODEL</t>
        </is>
      </c>
    </row>
    <row r="284">
      <c r="A284" s="6" t="inlineStr">
        <is>
          <t>Chi phí vốn CSH / g</t>
        </is>
      </c>
      <c r="B284" s="6" t="inlineStr">
        <is>
          <t>13.27% / 1.5%</t>
        </is>
      </c>
      <c r="C284" s="6" t="inlineStr">
        <is>
          <t>giữ nguyên</t>
        </is>
      </c>
      <c r="D284" s="6" t="inlineStr">
        <is>
          <t>MODEL</t>
        </is>
      </c>
    </row>
    <row r="285">
      <c r="A285" s="6" t="inlineStr">
        <is>
          <t>Số cổ phiếu</t>
        </is>
      </c>
      <c r="B285" s="6" t="inlineStr">
        <is>
          <t>1,703,507,121</t>
        </is>
      </c>
      <c r="C285" s="6" t="inlineStr">
        <is>
          <t>dùng cho CẢ EPS và BVPS (trước đây EPS dùng 1,810tr)</t>
        </is>
      </c>
      <c r="D285" s="6" t="inlineStr">
        <is>
          <t>MODEL</t>
        </is>
      </c>
    </row>
    <row r="286">
      <c r="A286" s="6" t="inlineStr">
        <is>
          <t>Ngày thị giá</t>
        </is>
      </c>
      <c r="B286" s="6" t="inlineStr">
        <is>
          <t>31/07/26 — SUY LUẬN, chưa xác nhận</t>
        </is>
      </c>
      <c r="C286" s="6" t="inlineStr">
        <is>
          <t>GAP</t>
        </is>
      </c>
      <c r="D286" s="6" t="inlineStr">
        <is>
          <t>MAS</t>
        </is>
      </c>
    </row>
    <row r="287">
      <c r="A287" t="inlineStr">
        <is>
          <t>NHỮNG ĐIỀU MODEL GỐC KHÔNG PHẢN ÁNH — đã nêu với analyst</t>
        </is>
      </c>
      <c r="B287" s="5" t="n"/>
    </row>
    <row r="288">
      <c r="A288" s="6" t="inlineStr">
        <is>
          <t>Thuế</t>
        </is>
      </c>
      <c r="B288" s="6" t="inlineStr">
        <is>
          <t>15% trên TOÀN BỘ LNTT gồm cả phần liên kết</t>
        </is>
      </c>
      <c r="C288" s="6" t="inlineStr">
        <is>
          <t>BCTC 1H26: 11.7% LNTT / 15.55% ngoài LK</t>
        </is>
      </c>
      <c r="D288" s="6" t="inlineStr">
        <is>
          <t>GAP</t>
        </is>
      </c>
    </row>
    <row r="289">
      <c r="A289" s="6" t="inlineStr">
        <is>
          <t>Biên lợi nhuận gộp</t>
        </is>
      </c>
      <c r="B289" s="6" t="inlineStr">
        <is>
          <t>34.72%</t>
        </is>
      </c>
      <c r="C289" s="6" t="inlineStr">
        <is>
          <t>1H26 thực hiện 32.448%</t>
        </is>
      </c>
      <c r="D289" s="6" t="inlineStr">
        <is>
          <t>GAP</t>
        </is>
      </c>
    </row>
    <row r="290">
      <c r="A290" s="6" t="inlineStr">
        <is>
          <t>Lợi ích CĐ không kiểm soát</t>
        </is>
      </c>
      <c r="B290" s="6" t="inlineStr">
        <is>
          <t>166 / 211 / 246</t>
        </is>
      </c>
      <c r="C290" s="6" t="inlineStr">
        <is>
          <t>1H26 thực tế -7.8</t>
        </is>
      </c>
      <c r="D290" s="6" t="inlineStr">
        <is>
          <t>GAP</t>
        </is>
      </c>
    </row>
    <row r="291">
      <c r="A291" s="6" t="inlineStr">
        <is>
          <t>Dòng liên kết FY26F</t>
        </is>
      </c>
      <c r="B291" s="6" t="inlineStr">
        <is>
          <t>2,608 (4.5525% doanh thu)</t>
        </is>
      </c>
      <c r="C291" s="6" t="inlineStr">
        <is>
          <t>1H26 thực tế 1,423.4 -&gt; cả năm ~2,847</t>
        </is>
      </c>
      <c r="D291" s="6" t="inlineStr">
        <is>
          <t>GAP</t>
        </is>
      </c>
    </row>
    <row r="292">
      <c r="A292" s="6" t="inlineStr">
        <is>
          <t>Bảng cân đối</t>
        </is>
      </c>
      <c r="B292" s="6" t="inlineStr">
        <is>
          <t>vẫn hợp nhất FPT Telecom</t>
        </is>
      </c>
      <c r="C292" s="6" t="inlineStr">
        <is>
          <t>tổng TS FY26F 91,917 vs 73,734 tại 30/06/26</t>
        </is>
      </c>
      <c r="D292" s="6" t="inlineStr">
        <is>
          <t>GAP</t>
        </is>
      </c>
    </row>
    <row r="293">
      <c r="A293" s="6" t="inlineStr">
        <is>
          <t>Lộ trình +14.6/15.2/15.7 analyst đặt</t>
        </is>
      </c>
      <c r="B293" s="6" t="inlineStr">
        <is>
          <t>không còn áp dụng</t>
        </is>
      </c>
      <c r="C293" s="6" t="inlineStr">
        <is>
          <t>thay bằng +15.6/15.8/16.6</t>
        </is>
      </c>
      <c r="D293" s="6" t="inlineStr">
        <is>
          <t>—</t>
        </is>
      </c>
    </row>
    <row r="294">
      <c r="A294" s="6" t="inlineStr">
        <is>
          <t>Đã giữ lại</t>
        </is>
      </c>
      <c r="B294" s="6" t="inlineStr">
        <is>
          <t>dẫn chứng doanh thu ký mới 1H26 (26,338, +32.3%) trong đoạn phân khúc</t>
        </is>
      </c>
      <c r="C294" s="6" t="n"/>
      <c r="D294" s="6" t="inlineStr">
        <is>
          <t>PRESS</t>
        </is>
      </c>
    </row>
    <row r="295">
      <c r="A295" s="6" t="inlineStr">
        <is>
          <t>Kiểm tra tự động</t>
        </is>
      </c>
      <c r="B295" s="6" t="inlineStr">
        <is>
          <t>check_fpt.py 62/62 đạt — slide đối chiếu trực tiếp với model gốc</t>
        </is>
      </c>
      <c r="C295" s="6" t="n"/>
      <c r="D295" s="6" t="inlineStr">
        <is>
          <t>CHECK</t>
        </is>
      </c>
    </row>
    <row r="296">
      <c r="A296" t="inlineStr">
        <is>
          <t>STB — SỬA CÂU VỀ DỰ PHÒNG</t>
        </is>
      </c>
      <c r="B296" s="5" t="n"/>
    </row>
    <row r="297">
      <c r="A297" s="6" t="inlineStr">
        <is>
          <t>Câu cũ</t>
        </is>
      </c>
      <c r="B297" s="6" t="inlineStr">
        <is>
          <t>dự phòng FY26F 10.4 nghìn tỷ "là chưa đủ"</t>
        </is>
      </c>
      <c r="C297" s="6" t="inlineStr">
        <is>
          <t>REJECTED</t>
        </is>
      </c>
      <c r="D297" s="6" t="inlineStr">
        <is>
          <t>MAS</t>
        </is>
      </c>
    </row>
    <row r="298">
      <c r="A298" s="6" t="inlineStr">
        <is>
          <t>Lý do sửa</t>
        </is>
      </c>
      <c r="B298" s="6" t="inlineStr">
        <is>
          <t>nhịp 1H26 (~5,307 x2 = 10,614) cho thấy 10.4 nghìn tỷ là hợp lý</t>
        </is>
      </c>
      <c r="C298" s="6" t="n"/>
      <c r="D298" s="6" t="inlineStr">
        <is>
          <t>DERIVED</t>
        </is>
      </c>
    </row>
    <row r="299">
      <c r="A299" s="6" t="inlineStr">
        <is>
          <t>Câu mới</t>
        </is>
      </c>
      <c r="B299" s="6" t="inlineStr">
        <is>
          <t>FY26F sát nhịp 1H26; điểm yếu là FY27F (chi phí tín dụng ~0.8% khi nợ xấu &gt;7%)</t>
        </is>
      </c>
      <c r="C299" s="6" t="n"/>
      <c r="D299" s="6" t="inlineStr">
        <is>
          <t>MAS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2026-07-28T07:08:55Z</dcterms:created>
  <dcterms:modified xmlns:dcterms="http://purl.org/dc/terms/" xmlns:xsi="http://www.w3.org/2001/XMLSchema-instance" xsi:type="dcterms:W3CDTF">2026-08-04T09:12:18Z</dcterms:modified>
</cp:coreProperties>
</file>