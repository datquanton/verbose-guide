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s &amp; Assumption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C00000"/>
      <sz val="11"/>
    </font>
    <font>
      <name val="Arial"/>
      <i val="1"/>
      <sz val="9"/>
    </font>
    <font>
      <name val="Arial"/>
      <b val="1"/>
      <sz val="10"/>
    </font>
    <font>
      <name val="Arial"/>
      <sz val="10"/>
    </font>
    <font>
      <name val="Arial"/>
      <color rgb="00C00000"/>
      <sz val="10"/>
    </font>
  </fonts>
  <fills count="4">
    <fill>
      <patternFill/>
    </fill>
    <fill>
      <patternFill patternType="gray125"/>
    </fill>
    <fill>
      <patternFill patternType="solid">
        <fgColor rgb="00D9D9D9"/>
      </patternFill>
    </fill>
    <fill>
      <patternFill patternType="solid">
        <fgColor rgb="00FFF2CC"/>
      </patternFill>
    </fill>
  </fills>
  <borders count="2">
    <border>
      <left/>
      <right/>
      <top/>
      <bottom/>
      <diagonal/>
    </border>
    <border>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pivotButton="0" quotePrefix="0" xfId="0"/>
    <xf numFmtId="0" fontId="4" fillId="2" borderId="0" pivotButton="0" quotePrefix="0" xfId="0"/>
    <xf numFmtId="0" fontId="3" fillId="2" borderId="0" pivotButton="0" quotePrefix="0" xfId="0"/>
    <xf numFmtId="0" fontId="4" fillId="0" borderId="0" pivotButton="0" quotePrefix="0" xfId="0"/>
    <xf numFmtId="0" fontId="4" fillId="0" borderId="0" applyAlignment="1" pivotButton="0" quotePrefix="0" xfId="0">
      <alignment vertical="top" wrapText="1"/>
    </xf>
    <xf numFmtId="0" fontId="4" fillId="3" borderId="0" pivotButton="0" quotePrefix="0" xfId="0"/>
    <xf numFmtId="0" fontId="4" fillId="3" borderId="0" applyAlignment="1" pivotButton="0" quotePrefix="0" xfId="0">
      <alignment vertical="top" wrapText="1"/>
    </xf>
    <xf numFmtId="0" fontId="3"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
  <sheetViews>
    <sheetView workbookViewId="0">
      <pane ySplit="5" topLeftCell="A6" activePane="bottomLeft" state="frozen"/>
      <selection pane="bottomLeft" activeCell="A1" sqref="A1"/>
    </sheetView>
  </sheetViews>
  <sheetFormatPr baseColWidth="8" defaultRowHeight="15"/>
  <cols>
    <col width="6" customWidth="1" min="1" max="1"/>
    <col width="38" customWidth="1" min="2" max="2"/>
    <col width="22" customWidth="1" min="3" max="3"/>
    <col width="8" customWidth="1" min="4" max="4"/>
    <col width="15" customWidth="1" min="5" max="5"/>
    <col width="52" customWidth="1" min="6" max="6"/>
    <col width="64" customWidth="1" min="7" max="7"/>
  </cols>
  <sheetData>
    <row r="1">
      <c r="A1" s="1" t="inlineStr">
        <is>
          <t>INTERNAL — NOT FOR DISTRIBUTION</t>
        </is>
      </c>
    </row>
    <row r="2">
      <c r="A2" s="2" t="inlineStr">
        <is>
          <t>Sources &amp; assumptions record for the Aug-26 Stock Pick file (VRE, FPT). Keep this file internal; the client-facing workbook carries no provenance tab.</t>
        </is>
      </c>
    </row>
    <row r="3" ht="30" customHeight="1">
      <c r="A3" s="2" t="inlineStr">
        <is>
          <t>RULE: no figure enters a client-facing cell without a source tag below. MODEL = a cell in our own model · COMPANY = disclosure/plan/AGM · PRESS = media (outlet + date) · MAS = our estimate, which must show its build · UNVERIFIED = single unconfirmed source (red). Conflicts are listed, not silently resolved.</t>
        </is>
      </c>
    </row>
    <row r="5">
      <c r="A5" s="3" t="inlineStr">
        <is>
          <t>#</t>
        </is>
      </c>
      <c r="B5" s="3" t="inlineStr">
        <is>
          <t>Item</t>
        </is>
      </c>
      <c r="C5" s="3" t="inlineStr">
        <is>
          <t>Value</t>
        </is>
      </c>
      <c r="D5" s="3" t="inlineStr">
        <is>
          <t>Unit</t>
        </is>
      </c>
      <c r="E5" s="3" t="inlineStr">
        <is>
          <t>Source type</t>
        </is>
      </c>
      <c r="F5" s="3" t="inlineStr">
        <is>
          <t>Source detail / date</t>
        </is>
      </c>
      <c r="G5" s="3" t="inlineStr">
        <is>
          <t>Status &amp; notes</t>
        </is>
      </c>
    </row>
    <row r="6" ht="18" customHeight="1">
      <c r="A6" s="4" t="inlineStr"/>
      <c r="B6" s="5" t="inlineStr">
        <is>
          <t>VRE — FY25 REPORTED</t>
        </is>
      </c>
      <c r="C6" s="4" t="inlineStr"/>
      <c r="D6" s="4" t="inlineStr"/>
      <c r="E6" s="4" t="inlineStr"/>
      <c r="F6" s="4" t="inlineStr"/>
      <c r="G6" s="4" t="inlineStr"/>
    </row>
    <row r="7" ht="32" customHeight="1">
      <c r="A7" s="6" t="inlineStr">
        <is>
          <t>1</t>
        </is>
      </c>
      <c r="B7" s="6" t="inlineStr">
        <is>
          <t>Net revenue FY25</t>
        </is>
      </c>
      <c r="C7" s="6" t="inlineStr">
        <is>
          <t>8,712</t>
        </is>
      </c>
      <c r="D7" s="6" t="inlineStr">
        <is>
          <t>VNDbn</t>
        </is>
      </c>
      <c r="E7" s="6" t="inlineStr">
        <is>
          <t>PRESS + COMPANY</t>
        </is>
      </c>
      <c r="F7" s="7" t="inlineStr">
        <is>
          <t>FY25 results coverage; cross-checks to the FY26 plan (10,132 stated +16% YoY -&gt; implies 8,734)</t>
        </is>
      </c>
      <c r="G7" s="7" t="inlineStr">
        <is>
          <t>RECONCILED. NOT an adjusted figure — FY25 one-offs sat in financial income, below the revenue line. Model Summary!K157 shows 9,074 but that column is a 2025F forecast, not an actual.</t>
        </is>
      </c>
    </row>
    <row r="8" ht="32" customHeight="1">
      <c r="A8" s="6" t="inlineStr">
        <is>
          <t>2</t>
        </is>
      </c>
      <c r="B8" s="6" t="inlineStr">
        <is>
          <t>Leasing revenue FY25</t>
        </is>
      </c>
      <c r="C8" s="6" t="inlineStr">
        <is>
          <t>8,400</t>
        </is>
      </c>
      <c r="D8" s="6" t="inlineStr">
        <is>
          <t>VNDbn</t>
        </is>
      </c>
      <c r="E8" s="6" t="inlineStr">
        <is>
          <t>PRESS</t>
        </is>
      </c>
      <c r="F8" s="7" t="inlineStr">
        <is>
          <t>FY25 results coverage, +8.3% YoY</t>
        </is>
      </c>
      <c r="G8" s="7" t="inlineStr">
        <is>
          <t>Single source; consistent with model leasing 2025F of 8,311.</t>
        </is>
      </c>
    </row>
    <row r="9" ht="32" customHeight="1">
      <c r="A9" s="6" t="inlineStr">
        <is>
          <t>3</t>
        </is>
      </c>
      <c r="B9" s="6" t="inlineStr">
        <is>
          <t>NPAT FY25 (reported)</t>
        </is>
      </c>
      <c r="C9" s="6" t="inlineStr">
        <is>
          <t>6,446</t>
        </is>
      </c>
      <c r="D9" s="6" t="inlineStr">
        <is>
          <t>VNDbn</t>
        </is>
      </c>
      <c r="E9" s="6" t="inlineStr">
        <is>
          <t>COMPANY</t>
        </is>
      </c>
      <c r="F9" s="7" t="inlineStr">
        <is>
          <t>FY25 results announcement, +57.3% YoY</t>
        </is>
      </c>
      <c r="G9" s="7" t="inlineStr">
        <is>
          <t>Confirmed by multiple outlets.</t>
        </is>
      </c>
    </row>
    <row r="10" ht="32" customHeight="1">
      <c r="A10" s="6" t="inlineStr">
        <is>
          <t>4</t>
        </is>
      </c>
      <c r="B10" s="6" t="inlineStr">
        <is>
          <t>NPAT FY25 (adjusted)</t>
        </is>
      </c>
      <c r="C10" s="6" t="inlineStr">
        <is>
          <t>4,694</t>
        </is>
      </c>
      <c r="D10" s="6" t="inlineStr">
        <is>
          <t>VNDbn</t>
        </is>
      </c>
      <c r="E10" s="6" t="inlineStr">
        <is>
          <t>COMPANY</t>
        </is>
      </c>
      <c r="F10" s="7" t="inlineStr">
        <is>
          <t>Ex one-off financial income (Vincom Center Nguyen Chi Thanh stake transfer), +16.3% YoY</t>
        </is>
      </c>
      <c r="G10" s="7" t="inlineStr">
        <is>
          <t>"Adjusted" applies to PROFIT ONLY.</t>
        </is>
      </c>
    </row>
    <row r="11" ht="32" customHeight="1">
      <c r="A11" s="6" t="inlineStr">
        <is>
          <t>5</t>
        </is>
      </c>
      <c r="B11" s="6" t="inlineStr">
        <is>
          <t>NPAT FY25 (model base)</t>
        </is>
      </c>
      <c r="C11" s="6" t="inlineStr">
        <is>
          <t>6,367</t>
        </is>
      </c>
      <c r="D11" s="6" t="inlineStr">
        <is>
          <t>VNDbn</t>
        </is>
      </c>
      <c r="E11" s="6" t="inlineStr">
        <is>
          <t>MODEL</t>
        </is>
      </c>
      <c r="F11" s="7" t="inlineStr">
        <is>
          <t>VRE_1Q26_v2_linked2.xlsx Summary!K158</t>
        </is>
      </c>
      <c r="G11" s="7" t="inlineStr">
        <is>
          <t>Col-H growth denominator, for cross-ticker consistency; differs from the 6,446 reported.</t>
        </is>
      </c>
    </row>
    <row r="12" ht="18" customHeight="1">
      <c r="A12" s="4" t="inlineStr"/>
      <c r="B12" s="5" t="inlineStr">
        <is>
          <t>VRE — 1Q26 REPORTED</t>
        </is>
      </c>
      <c r="C12" s="4" t="inlineStr"/>
      <c r="D12" s="4" t="inlineStr"/>
      <c r="E12" s="4" t="inlineStr"/>
      <c r="F12" s="4" t="inlineStr"/>
      <c r="G12" s="4" t="inlineStr"/>
    </row>
    <row r="13" ht="32" customHeight="1">
      <c r="A13" s="6" t="inlineStr">
        <is>
          <t>6</t>
        </is>
      </c>
      <c r="B13" s="6" t="inlineStr">
        <is>
          <t>Net revenue 1Q26</t>
        </is>
      </c>
      <c r="C13" s="6" t="inlineStr">
        <is>
          <t>2,574</t>
        </is>
      </c>
      <c r="D13" s="6" t="inlineStr">
        <is>
          <t>VNDbn</t>
        </is>
      </c>
      <c r="E13" s="6" t="inlineStr">
        <is>
          <t>PRESS</t>
        </is>
      </c>
      <c r="F13" s="7" t="inlineStr">
        <is>
          <t>1Q26 results coverage, +20.7% YoY</t>
        </is>
      </c>
      <c r="G13" s="7" t="inlineStr">
        <is>
          <t>Reported. An earlier draft wrongly labelled this "adjusted" — no source described it that way. Corrected.</t>
        </is>
      </c>
    </row>
    <row r="14" ht="32" customHeight="1">
      <c r="A14" s="6" t="inlineStr">
        <is>
          <t>7</t>
        </is>
      </c>
      <c r="B14" s="6" t="inlineStr">
        <is>
          <t>NPAT 1Q26</t>
        </is>
      </c>
      <c r="C14" s="6" t="inlineStr">
        <is>
          <t>1,606</t>
        </is>
      </c>
      <c r="D14" s="6" t="inlineStr">
        <is>
          <t>VNDbn</t>
        </is>
      </c>
      <c r="E14" s="6" t="inlineStr">
        <is>
          <t>PRESS</t>
        </is>
      </c>
      <c r="F14" s="7" t="inlineStr">
        <is>
          <t>1Q26 results coverage, +36.4% YoY</t>
        </is>
      </c>
      <c r="G14" s="7" t="inlineStr">
        <is>
          <t>Confirmed by multiple outlets.</t>
        </is>
      </c>
    </row>
    <row r="15" ht="18" customHeight="1">
      <c r="A15" s="4" t="inlineStr"/>
      <c r="B15" s="5" t="inlineStr">
        <is>
          <t>VRE — FY26F</t>
        </is>
      </c>
      <c r="C15" s="4" t="inlineStr"/>
      <c r="D15" s="4" t="inlineStr"/>
      <c r="E15" s="4" t="inlineStr"/>
      <c r="F15" s="4" t="inlineStr"/>
      <c r="G15" s="4" t="inlineStr"/>
    </row>
    <row r="16" ht="32" customHeight="1">
      <c r="A16" s="6" t="inlineStr">
        <is>
          <t>8</t>
        </is>
      </c>
      <c r="B16" s="6" t="inlineStr">
        <is>
          <t>FY26 revenue plan</t>
        </is>
      </c>
      <c r="C16" s="6" t="inlineStr">
        <is>
          <t>10,132</t>
        </is>
      </c>
      <c r="D16" s="6" t="inlineStr">
        <is>
          <t>VNDbn</t>
        </is>
      </c>
      <c r="E16" s="6" t="inlineStr">
        <is>
          <t>COMPANY</t>
        </is>
      </c>
      <c r="F16" s="7" t="inlineStr">
        <is>
          <t>2026 AGM, 23-Apr-2026</t>
        </is>
      </c>
      <c r="G16" s="7" t="inlineStr">
        <is>
          <t>Board-approved.</t>
        </is>
      </c>
    </row>
    <row r="17" ht="32" customHeight="1">
      <c r="A17" s="6" t="inlineStr">
        <is>
          <t>9</t>
        </is>
      </c>
      <c r="B17" s="6" t="inlineStr">
        <is>
          <t>FY26 NPAT plan</t>
        </is>
      </c>
      <c r="C17" s="6" t="inlineStr">
        <is>
          <t>5,375</t>
        </is>
      </c>
      <c r="D17" s="6" t="inlineStr">
        <is>
          <t>VNDbn</t>
        </is>
      </c>
      <c r="E17" s="6" t="inlineStr">
        <is>
          <t>COMPANY</t>
        </is>
      </c>
      <c r="F17" s="7" t="inlineStr">
        <is>
          <t>2026 AGM, 23-Apr-2026</t>
        </is>
      </c>
      <c r="G17" s="7" t="inlineStr">
        <is>
          <t>Board-approved.</t>
        </is>
      </c>
    </row>
    <row r="18" ht="32" customHeight="1">
      <c r="A18" s="6" t="inlineStr">
        <is>
          <t>10</t>
        </is>
      </c>
      <c r="B18" s="6" t="inlineStr">
        <is>
          <t>MAS FY26F net revenue</t>
        </is>
      </c>
      <c r="C18" s="6" t="inlineStr">
        <is>
          <t>10,639</t>
        </is>
      </c>
      <c r="D18" s="6" t="inlineStr">
        <is>
          <t>VNDbn</t>
        </is>
      </c>
      <c r="E18" s="6" t="inlineStr">
        <is>
          <t>MAS</t>
        </is>
      </c>
      <c r="F18" s="7" t="inlineStr">
        <is>
          <t>plan x 1.05, per analyst instruction</t>
        </is>
      </c>
      <c r="G18" s="7" t="inlineStr">
        <is>
          <t>—</t>
        </is>
      </c>
    </row>
    <row r="19" ht="32" customHeight="1">
      <c r="A19" s="6" t="inlineStr">
        <is>
          <t>11</t>
        </is>
      </c>
      <c r="B19" s="6" t="inlineStr">
        <is>
          <t>MAS FY26F NPATMI</t>
        </is>
      </c>
      <c r="C19" s="6" t="inlineStr">
        <is>
          <t>5,483</t>
        </is>
      </c>
      <c r="D19" s="6" t="inlineStr">
        <is>
          <t>VNDbn</t>
        </is>
      </c>
      <c r="E19" s="6" t="inlineStr">
        <is>
          <t>MAS</t>
        </is>
      </c>
      <c r="F19" s="7" t="inlineStr">
        <is>
          <t>plan x 1.02, per analyst instruction</t>
        </is>
      </c>
      <c r="G19" s="7" t="inlineStr">
        <is>
          <t>Implies a 51.5% net margin vs ~53.0% in plan.</t>
        </is>
      </c>
    </row>
    <row r="20" ht="18" customHeight="1">
      <c r="A20" s="4" t="inlineStr"/>
      <c r="B20" s="5" t="inlineStr">
        <is>
          <t>VRE — FY27F BUILD (adopted)</t>
        </is>
      </c>
      <c r="C20" s="4" t="inlineStr"/>
      <c r="D20" s="4" t="inlineStr"/>
      <c r="E20" s="4" t="inlineStr"/>
      <c r="F20" s="4" t="inlineStr"/>
      <c r="G20" s="4" t="inlineStr"/>
    </row>
    <row r="21" ht="32" customHeight="1">
      <c r="A21" s="6" t="inlineStr">
        <is>
          <t>12</t>
        </is>
      </c>
      <c r="B21" s="6" t="inlineStr">
        <is>
          <t>FY26F NPATMI base</t>
        </is>
      </c>
      <c r="C21" s="6" t="inlineStr">
        <is>
          <t>5,483</t>
        </is>
      </c>
      <c r="D21" s="6" t="inlineStr">
        <is>
          <t>VNDbn</t>
        </is>
      </c>
      <c r="E21" s="6" t="inlineStr">
        <is>
          <t>MAS</t>
        </is>
      </c>
      <c r="F21" s="7" t="inlineStr">
        <is>
          <t>row 11</t>
        </is>
      </c>
      <c r="G21" s="7" t="inlineStr">
        <is>
          <t>—</t>
        </is>
      </c>
    </row>
    <row r="22" ht="32" customHeight="1">
      <c r="A22" s="6" t="inlineStr">
        <is>
          <t>13</t>
        </is>
      </c>
      <c r="B22" s="6" t="inlineStr">
        <is>
          <t>+ organic leasing growth</t>
        </is>
      </c>
      <c r="C22" s="6" t="inlineStr">
        <is>
          <t>439</t>
        </is>
      </c>
      <c r="D22" s="6" t="inlineStr">
        <is>
          <t>VNDbn</t>
        </is>
      </c>
      <c r="E22" s="6" t="inlineStr">
        <is>
          <t>MAS</t>
        </is>
      </c>
      <c r="F22" s="7" t="inlineStr">
        <is>
          <t>+8.0% on base: 2026 GFA additions annualise; occupancy 88.1% (end-2025) recovering</t>
        </is>
      </c>
      <c r="G22" s="7" t="inlineStr">
        <is>
          <t>Model GFA +5.2%; +8% profit growth assumes modest operating leverage.</t>
        </is>
      </c>
    </row>
    <row r="23" ht="32" customHeight="1">
      <c r="A23" s="8" t="inlineStr">
        <is>
          <t>14</t>
        </is>
      </c>
      <c r="B23" s="8" t="inlineStr">
        <is>
          <t>+ shophouse handover</t>
        </is>
      </c>
      <c r="C23" s="8" t="inlineStr">
        <is>
          <t>383</t>
        </is>
      </c>
      <c r="D23" s="8" t="inlineStr">
        <is>
          <t>VNDbn</t>
        </is>
      </c>
      <c r="E23" s="8" t="inlineStr">
        <is>
          <t>MAS</t>
        </is>
      </c>
      <c r="F23" s="9" t="inlineStr">
        <is>
          <t>~30% of the VND1,575bn guided first-year gross profit, taxed at 20%</t>
        </is>
      </c>
      <c r="G23" s="9" t="inlineStr">
        <is>
          <t>DELIBERATELY HAIRCUT — see conflicts below.</t>
        </is>
      </c>
    </row>
    <row r="24" ht="32" customHeight="1">
      <c r="A24" s="10" t="inlineStr">
        <is>
          <t>15</t>
        </is>
      </c>
      <c r="B24" s="10">
        <f> FY27F NPATMI</f>
        <v/>
      </c>
      <c r="C24" s="10" t="inlineStr">
        <is>
          <t>6,305</t>
        </is>
      </c>
      <c r="D24" s="10" t="inlineStr">
        <is>
          <t>VNDbn</t>
        </is>
      </c>
      <c r="E24" s="10" t="inlineStr">
        <is>
          <t>MAS</t>
        </is>
      </c>
      <c r="F24" s="11" t="inlineStr">
        <is>
          <t>rows 12+13+14</t>
        </is>
      </c>
      <c r="G24" s="11" t="inlineStr">
        <is>
          <t>+15.0% YoY.</t>
        </is>
      </c>
    </row>
    <row r="25" ht="18" customHeight="1">
      <c r="A25" s="4" t="inlineStr"/>
      <c r="B25" s="5" t="inlineStr">
        <is>
          <t>FY27F SCENARIOS</t>
        </is>
      </c>
      <c r="C25" s="4" t="inlineStr"/>
      <c r="D25" s="4" t="inlineStr"/>
      <c r="E25" s="4" t="inlineStr"/>
      <c r="F25" s="4" t="inlineStr"/>
      <c r="G25" s="4" t="inlineStr"/>
    </row>
    <row r="26" ht="32" customHeight="1">
      <c r="A26" s="6" t="inlineStr">
        <is>
          <t>16</t>
        </is>
      </c>
      <c r="B26" s="6" t="inlineStr">
        <is>
          <t>Low — leasing only</t>
        </is>
      </c>
      <c r="C26" s="6" t="inlineStr">
        <is>
          <t>5,922</t>
        </is>
      </c>
      <c r="D26" s="6" t="inlineStr">
        <is>
          <t>VNDbn</t>
        </is>
      </c>
      <c r="E26" s="6" t="inlineStr">
        <is>
          <t>MAS</t>
        </is>
      </c>
      <c r="F26" s="7" t="inlineStr">
        <is>
          <t>5,483 x 1.08</t>
        </is>
      </c>
      <c r="G26" s="7" t="inlineStr">
        <is>
          <t>+8.0%. Credits nothing to shophouses.</t>
        </is>
      </c>
    </row>
    <row r="27" ht="32" customHeight="1">
      <c r="A27" s="10" t="inlineStr">
        <is>
          <t>17</t>
        </is>
      </c>
      <c r="B27" s="10" t="inlineStr">
        <is>
          <t>Base — adopted</t>
        </is>
      </c>
      <c r="C27" s="10" t="inlineStr">
        <is>
          <t>6,305</t>
        </is>
      </c>
      <c r="D27" s="10" t="inlineStr">
        <is>
          <t>VNDbn</t>
        </is>
      </c>
      <c r="E27" s="10" t="inlineStr">
        <is>
          <t>MAS</t>
        </is>
      </c>
      <c r="F27" s="11" t="inlineStr">
        <is>
          <t>row 15</t>
        </is>
      </c>
      <c r="G27" s="11" t="inlineStr">
        <is>
          <t>+15.0%. ~30% of guided shophouse GP.</t>
        </is>
      </c>
    </row>
    <row r="28" ht="32" customHeight="1">
      <c r="A28" s="6" t="inlineStr">
        <is>
          <t>18</t>
        </is>
      </c>
      <c r="B28" s="6" t="inlineStr">
        <is>
          <t>High — full handover</t>
        </is>
      </c>
      <c r="C28" s="6" t="inlineStr">
        <is>
          <t>6,580</t>
        </is>
      </c>
      <c r="D28" s="6" t="inlineStr">
        <is>
          <t>VNDbn</t>
        </is>
      </c>
      <c r="E28" s="6" t="inlineStr">
        <is>
          <t>MAS</t>
        </is>
      </c>
      <c r="F28" s="7" t="inlineStr">
        <is>
          <t>5,483 x 1.20</t>
        </is>
      </c>
      <c r="G28" s="7" t="inlineStr">
        <is>
          <t>+20.0%. a competing broker forecasts 6,502 (+19.2%) on a similar view.</t>
        </is>
      </c>
    </row>
    <row r="29" ht="18" customHeight="1">
      <c r="A29" s="4" t="inlineStr"/>
      <c r="B29" s="5" t="inlineStr">
        <is>
          <t>SHOPHOUSE PIPELINE — underlying facts</t>
        </is>
      </c>
      <c r="C29" s="4" t="inlineStr"/>
      <c r="D29" s="4" t="inlineStr"/>
      <c r="E29" s="4" t="inlineStr"/>
      <c r="F29" s="4" t="inlineStr"/>
      <c r="G29" s="4" t="inlineStr"/>
    </row>
    <row r="30" ht="32" customHeight="1">
      <c r="A30" s="6" t="inlineStr">
        <is>
          <t>19</t>
        </is>
      </c>
      <c r="B30" s="6" t="inlineStr">
        <is>
          <t>Deposit paid for shophouse land</t>
        </is>
      </c>
      <c r="C30" s="6" t="inlineStr">
        <is>
          <t>5,480</t>
        </is>
      </c>
      <c r="D30" s="6" t="inlineStr">
        <is>
          <t>VNDbn</t>
        </is>
      </c>
      <c r="E30" s="6" t="inlineStr">
        <is>
          <t>PRESS</t>
        </is>
      </c>
      <c r="F30" s="7" t="inlineStr">
        <is>
          <t>MarketTimes; paid end-2024 for ~109,800 sqm net floor</t>
        </is>
      </c>
      <c r="G30" s="7" t="inlineStr">
        <is>
          <t>~1,200 units: Vinhomes Royal Island (~1,000) + Golden Avenue (~280).</t>
        </is>
      </c>
    </row>
    <row r="31" ht="32" customHeight="1">
      <c r="A31" s="6" t="inlineStr">
        <is>
          <t>20</t>
        </is>
      </c>
      <c r="B31" s="6" t="inlineStr">
        <is>
          <t>Guided gross margin</t>
        </is>
      </c>
      <c r="C31" s="6" t="inlineStr">
        <is>
          <t>45</t>
        </is>
      </c>
      <c r="D31" s="6" t="inlineStr">
        <is>
          <t>%</t>
        </is>
      </c>
      <c r="E31" s="6" t="inlineStr">
        <is>
          <t>PRESS</t>
        </is>
      </c>
      <c r="F31" s="7" t="inlineStr">
        <is>
          <t>Broker/press coverage</t>
        </is>
      </c>
      <c r="G31" s="7" t="inlineStr">
        <is>
          <t>Single-source estimate.</t>
        </is>
      </c>
    </row>
    <row r="32" ht="32" customHeight="1">
      <c r="A32" s="6" t="inlineStr">
        <is>
          <t>21</t>
        </is>
      </c>
      <c r="B32" s="6" t="inlineStr">
        <is>
          <t>Guided gross profit, 1st handover yr</t>
        </is>
      </c>
      <c r="C32" s="6" t="inlineStr">
        <is>
          <t>1,575</t>
        </is>
      </c>
      <c r="D32" s="6" t="inlineStr">
        <is>
          <t>VNDbn</t>
        </is>
      </c>
      <c r="E32" s="6" t="inlineStr">
        <is>
          <t>PRESS</t>
        </is>
      </c>
      <c r="F32" s="7" t="inlineStr">
        <is>
          <t>CafeF, 10-Oct-2025</t>
        </is>
      </c>
      <c r="G32" s="12" t="inlineStr">
        <is>
          <t>UNVERIFIED against company disclosure — indicative only. This is the number our row-14 haircut is applied to.</t>
        </is>
      </c>
    </row>
    <row r="33" ht="32" customHeight="1">
      <c r="A33" s="6" t="inlineStr">
        <is>
          <t>22</t>
        </is>
      </c>
      <c r="B33" s="6" t="inlineStr">
        <is>
          <t>Vincom Collection share of FY26 rev</t>
        </is>
      </c>
      <c r="C33" s="6" t="inlineStr">
        <is>
          <t>1.5-2</t>
        </is>
      </c>
      <c r="D33" s="6" t="inlineStr">
        <is>
          <t>%</t>
        </is>
      </c>
      <c r="E33" s="6" t="inlineStr">
        <is>
          <t>COMPANY</t>
        </is>
      </c>
      <c r="F33" s="7" t="inlineStr">
        <is>
          <t>2026 AGM, 23-Apr-2026</t>
        </is>
      </c>
      <c r="G33" s="7" t="inlineStr">
        <is>
          <t>Vincom Collection = operating/managing shophouse streets (rental and management income, contributes from 2026). This is a DIFFERENT line from shophouse unit sales, whose profit depends on handover. An earlier draft used the former as evidence for the latter.</t>
        </is>
      </c>
    </row>
    <row r="34" ht="18" customHeight="1">
      <c r="A34" s="4" t="inlineStr"/>
      <c r="B34" s="5" t="inlineStr">
        <is>
          <t>KNOWN CONFLICTS &amp; OPEN ITEMS</t>
        </is>
      </c>
      <c r="C34" s="4" t="inlineStr"/>
      <c r="D34" s="4" t="inlineStr"/>
      <c r="E34" s="4" t="inlineStr"/>
      <c r="F34" s="4" t="inlineStr"/>
      <c r="G34" s="4" t="inlineStr"/>
    </row>
    <row r="35" ht="32" customHeight="1">
      <c r="A35" s="6" t="inlineStr">
        <is>
          <t>C1</t>
        </is>
      </c>
      <c r="B35" s="6" t="inlineStr">
        <is>
          <t>Shophouse timing has slipped TWICE</t>
        </is>
      </c>
      <c r="C35" s="6" t="inlineStr"/>
      <c r="D35" s="6" t="inlineStr"/>
      <c r="E35" s="6" t="inlineStr"/>
      <c r="F35" s="7" t="inlineStr">
        <is>
          <t>Feb-2025 press: sales 2025, handover 2026. Oct-2025 press: profit step-up in FY26. Apr-2026 AGM: sales open from 2027 (Vu Yen/Royal Island, Mong Cai) and 2028 (Can Gio)</t>
        </is>
      </c>
      <c r="G35" s="12" t="inlineStr">
        <is>
          <t>CORRECTED. An earlier draft said "management expects to contribute from 2027" — that was a journalist's passive phrasing, not a management statement, and it conflated SALES LAUNCH with REVENUE RECOGNITION. Booking case now rests on VRE reselling finished stock (units built out through 2026), so handover follows sale within months. Risk: sales opening late in 2027 pushes recognition to 2028.</t>
        </is>
      </c>
    </row>
    <row r="36" ht="32" customHeight="1">
      <c r="A36" s="6" t="inlineStr">
        <is>
          <t>C2</t>
        </is>
      </c>
      <c r="B36" s="6" t="inlineStr">
        <is>
          <t>Historic volatility of the property line</t>
        </is>
      </c>
      <c r="C36" s="6" t="inlineStr">
        <is>
          <t>381-3,433</t>
        </is>
      </c>
      <c r="D36" s="6" t="inlineStr">
        <is>
          <t>VNDbn</t>
        </is>
      </c>
      <c r="E36" s="6" t="inlineStr">
        <is>
          <t>MODEL</t>
        </is>
      </c>
      <c r="F36" s="7" t="inlineStr">
        <is>
          <t>VRE model IS!r78 "Sale of investment properties", FY18-FY24 range</t>
        </is>
      </c>
      <c r="G36" s="12" t="inlineStr">
        <is>
          <t>Handover timing is the largest single swing factor in FY27.</t>
        </is>
      </c>
    </row>
    <row r="37" ht="32" customHeight="1">
      <c r="A37" s="6" t="inlineStr">
        <is>
          <t>C3</t>
        </is>
      </c>
      <c r="B37" s="6" t="inlineStr">
        <is>
          <t>BVPS / P-B basis — RESTATED</t>
        </is>
      </c>
      <c r="C37" s="6" t="inlineStr">
        <is>
          <t>21,563 / 23,283</t>
        </is>
      </c>
      <c r="D37" s="6" t="inlineStr">
        <is>
          <t>VND</t>
        </is>
      </c>
      <c r="E37" s="6" t="inlineStr">
        <is>
          <t>MAS</t>
        </is>
      </c>
      <c r="F37" s="7" t="inlineStr">
        <is>
          <t>Rebuilt from FY25 BVPS 20,196 (VRE model BS!K136) + our NPATMI less the ~VND2.3tn cash dividend</t>
        </is>
      </c>
      <c r="G37" s="12" t="inlineStr">
        <is>
          <t>Model BS!L136/M136 (22,798/25,513) NOT used: it embeds FY26/27 NI of 5,913/6,170 rather than our 5,483/6,305, its equity roll-forward returns #DIV/0! in the forecast columns (Equity!L16/M16), and it assumes ZERO dividends despite the first cash payout in 7 years (~VND2.3tn, Jul-2026). Restating lifts P/B from 1.23x/1.10x to 1.30x/1.20x. FY27 assumes the dividend repeats; if not, BVPS27 = 24,270 and P/B27 = 1.15x.</t>
        </is>
      </c>
    </row>
    <row r="38" ht="32" customHeight="1">
      <c r="A38" s="6" t="inlineStr">
        <is>
          <t>C4</t>
        </is>
      </c>
      <c r="B38" s="6" t="inlineStr">
        <is>
          <t>FY28F</t>
        </is>
      </c>
      <c r="C38" s="6" t="inlineStr">
        <is>
          <t>n/a</t>
        </is>
      </c>
      <c r="D38" s="6" t="inlineStr"/>
      <c r="E38" s="6" t="inlineStr">
        <is>
          <t>—</t>
        </is>
      </c>
      <c r="F38" s="7" t="inlineStr">
        <is>
          <t>VRE model and Stock Pick tab both stop at FY27F</t>
        </is>
      </c>
      <c r="G38" s="7" t="inlineStr">
        <is>
          <t>No FY28 figure exists; none has been estimated.</t>
        </is>
      </c>
    </row>
    <row r="39" ht="32" customHeight="1">
      <c r="A39" s="6" t="inlineStr">
        <is>
          <t>C5</t>
        </is>
      </c>
      <c r="B39" s="6" t="inlineStr">
        <is>
          <t>A property-led FY27 creates a high FY28 base</t>
        </is>
      </c>
      <c r="C39" s="6" t="inlineStr"/>
      <c r="D39" s="6" t="inlineStr"/>
      <c r="E39" s="6" t="inlineStr">
        <is>
          <t>—</t>
        </is>
      </c>
      <c r="F39" s="7" t="inlineStr">
        <is>
          <t>Analytical note</t>
        </is>
      </c>
      <c r="G39" s="7" t="inlineStr">
        <is>
          <t>Same distortion the FY25 one-offs created for FY26 optics.</t>
        </is>
      </c>
    </row>
    <row r="40" ht="18" customHeight="1">
      <c r="A40" s="4" t="inlineStr"/>
      <c r="B40" s="5" t="inlineStr">
        <is>
          <t>FPT — key overrides</t>
        </is>
      </c>
      <c r="C40" s="4" t="inlineStr"/>
      <c r="D40" s="4" t="inlineStr"/>
      <c r="E40" s="4" t="inlineStr"/>
      <c r="F40" s="4" t="inlineStr"/>
      <c r="G40" s="4" t="inlineStr"/>
    </row>
    <row r="41" ht="32" customHeight="1">
      <c r="A41" s="6" t="inlineStr">
        <is>
          <t>F1</t>
        </is>
      </c>
      <c r="B41" s="6" t="inlineStr">
        <is>
          <t>FY26F/27F/28F NPATMI</t>
        </is>
      </c>
      <c r="C41" s="6" t="inlineStr">
        <is>
          <t>10,943 / 12,518 / 14,156</t>
        </is>
      </c>
      <c r="D41" s="6" t="inlineStr">
        <is>
          <t>VNDbn</t>
        </is>
      </c>
      <c r="E41" s="6" t="inlineStr">
        <is>
          <t>MAS</t>
        </is>
      </c>
      <c r="F41" s="7" t="inlineStr">
        <is>
          <t>Model recalibration; Domestic IT +14.0%, Telecom associates +15% p.a.</t>
        </is>
      </c>
      <c r="G41" s="7" t="inlineStr">
        <is>
          <t>Headcount held at 45,000 per instruction, so FY26F lands at +15.6% not +15.0%.</t>
        </is>
      </c>
    </row>
    <row r="42" ht="32" customHeight="1">
      <c r="A42" s="6" t="inlineStr">
        <is>
          <t>F2</t>
        </is>
      </c>
      <c r="B42" s="6" t="inlineStr">
        <is>
          <t>Target price</t>
        </is>
      </c>
      <c r="C42" s="6" t="inlineStr">
        <is>
          <t>78,750</t>
        </is>
      </c>
      <c r="D42" s="6" t="inlineStr">
        <is>
          <t>VND</t>
        </is>
      </c>
      <c r="E42" s="6" t="inlineStr">
        <is>
          <t>MAS</t>
        </is>
      </c>
      <c r="F42" s="7" t="inlineStr">
        <is>
          <t>Set top-down at +25% on the ~63,000 price (senior-manager instruction)</t>
        </is>
      </c>
      <c r="G42" s="12" t="inlineStr">
        <is>
          <t>Valuation sheet aligned via ERP 8.97% and terminal g 1.5% — an override, not a bottom-up DCF output.</t>
        </is>
      </c>
    </row>
    <row r="43" ht="32" customHeight="1">
      <c r="A43" s="6" t="inlineStr">
        <is>
          <t>F3</t>
        </is>
      </c>
      <c r="B43" s="6" t="inlineStr">
        <is>
          <t>1H26 actuals</t>
        </is>
      </c>
      <c r="C43" s="6" t="inlineStr">
        <is>
          <t>26,269 rev / 5,714 PBT</t>
        </is>
      </c>
      <c r="D43" s="6" t="inlineStr">
        <is>
          <t>VNDbn</t>
        </is>
      </c>
      <c r="E43" s="6" t="inlineStr">
        <is>
          <t>COMPANY</t>
        </is>
      </c>
      <c r="F43" s="7" t="inlineStr">
        <is>
          <t>FPT 1H26 release, 16-Jul-2026</t>
        </is>
      </c>
      <c r="G43" s="7" t="inlineStr">
        <is>
          <t>+12.6% / +18.1% YoY.</t>
        </is>
      </c>
    </row>
    <row r="44" ht="32" customHeight="1">
      <c r="A44" s="6" t="inlineStr">
        <is>
          <t>F4</t>
        </is>
      </c>
      <c r="B44" s="6" t="inlineStr">
        <is>
          <t>2Q26 NPATMI +14% YoY</t>
        </is>
      </c>
      <c r="C44" s="6" t="inlineStr">
        <is>
          <t>2,568</t>
        </is>
      </c>
      <c r="D44" s="6" t="inlineStr">
        <is>
          <t>VNDbn</t>
        </is>
      </c>
      <c r="E44" s="6" t="inlineStr">
        <is>
          <t>PRESS</t>
        </is>
      </c>
      <c r="F44" s="7" t="inlineStr">
        <is>
          <t>CafeF, 16-Jul-2026</t>
        </is>
      </c>
      <c r="G44" s="12" t="inlineStr">
        <is>
          <t>Note: the +14% belongs to NPATMI, NOT PBT — corrected after an earlier draft misattributed it.</t>
        </is>
      </c>
    </row>
    <row r="45"/>
    <row r="46"/>
    <row r="47"/>
    <row r="48"/>
    <row r="49"/>
    <row r="50"/>
    <row r="51"/>
    <row r="52"/>
    <row r="53"/>
    <row r="54"/>
    <row r="55"/>
    <row r="56"/>
    <row r="57"/>
    <row r="58"/>
    <row r="59"/>
  </sheetData>
  <mergeCells count="2">
    <mergeCell ref="A3:G3"/>
    <mergeCell ref="A2: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2026-07-28T07:08:55Z</dcterms:created>
  <dcterms:modified xmlns:dcterms="http://purl.org/dc/terms/" xmlns:xsi="http://www.w3.org/2001/XMLSchema-instance" xsi:type="dcterms:W3CDTF">2026-07-28T07:42:00Z</dcterms:modified>
</cp:coreProperties>
</file>