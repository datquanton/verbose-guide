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2"/>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row r="237">
      <c r="B237" s="13" t="inlineStr">
        <is>
          <t>STB — REVISION 04/08/2026: giữ bao phủ 50% -&gt; NPL 5.5%; CIR 40/38/36% FY26-28F</t>
        </is>
      </c>
    </row>
    <row r="238">
      <c r="A238" t="inlineStr">
        <is>
          <t>R1</t>
        </is>
      </c>
      <c r="B238" t="inlineStr">
        <is>
          <t>Dự phòng đã trích cuối Q2/2026</t>
        </is>
      </c>
      <c r="C238" t="inlineStr">
        <is>
          <t>27,177</t>
        </is>
      </c>
      <c r="D238" t="inlineStr">
        <is>
          <t>VNDbn</t>
        </is>
      </c>
      <c r="E238" t="inlineStr">
        <is>
          <t>MODEL</t>
        </is>
      </c>
      <c r="F238" t="inlineStr">
        <is>
          <t>FinModel_STB_2Q26 Model!CA cột quý 2Q26; FY25 20,056 + 7,119 trích 1H26</t>
        </is>
      </c>
      <c r="G238" t="inlineStr">
        <is>
          <t>Bao phủ 56.7% (27,177/47,957), tăng từ 50.0% cuối 2025 — gần như chưa xóa nợ trong 1H26</t>
        </is>
      </c>
    </row>
    <row r="239">
      <c r="A239" t="inlineStr">
        <is>
          <t>R2</t>
        </is>
      </c>
      <c r="B239" t="inlineStr">
        <is>
          <t>Xóa nợ FY26F</t>
        </is>
      </c>
      <c r="C239" t="inlineStr">
        <is>
          <t>11796</t>
        </is>
      </c>
      <c r="D239" t="inlineStr">
        <is>
          <t>VNDbn</t>
        </is>
      </c>
      <c r="E239" t="inlineStr">
        <is>
          <t>DERIVED</t>
        </is>
      </c>
      <c r="F239" t="inlineStr">
        <is>
          <t>Model!Y287 = -1.71% x dư nợ 689,832 (trước: -0.95%)</t>
        </is>
      </c>
      <c r="G239" t="inlineStr">
        <is>
          <t>Nghiệm của bài toán giữ bao phủ 50%; tương đương 37% dư nợ nhóm 5 (~32,000)</t>
        </is>
      </c>
    </row>
    <row r="240">
      <c r="A240" t="inlineStr">
        <is>
          <t>R3</t>
        </is>
      </c>
      <c r="B240" t="inlineStr">
        <is>
          <t>Tỷ lệ trích/xóa FY26F</t>
        </is>
      </c>
      <c r="C240" t="inlineStr">
        <is>
          <t>0.8802x</t>
        </is>
      </c>
      <c r="D240" t="inlineStr">
        <is>
          <t>x</t>
        </is>
      </c>
      <c r="E240" t="inlineStr">
        <is>
          <t>MAS</t>
        </is>
      </c>
      <c r="F240" t="inlineStr">
        <is>
          <t>Model!Y278 = -Y279*0.8802 (1.5x -&gt; 0.85x -&gt; 0.8802x)</t>
        </is>
      </c>
      <c r="G240" t="inlineStr">
        <is>
          <t>Xử lý nợ tài trợ từ nguồn dự phòng đã trích, không từ P&amp;L. Giữ 1.5x trên mức xóa nợ này là nguyên nhân làm LNTT sụt 64% mà CV đã bác</t>
        </is>
      </c>
    </row>
    <row r="241">
      <c r="A241" t="inlineStr">
        <is>
          <t>R4</t>
        </is>
      </c>
      <c r="B241" t="inlineStr">
        <is>
          <t>Dự phòng đã trích cuối FY26F / bao phủ</t>
        </is>
      </c>
      <c r="C241" t="inlineStr">
        <is>
          <t>19330 / 50.9%</t>
        </is>
      </c>
      <c r="D241" t="inlineStr">
        <is>
          <t>VNDbn / %</t>
        </is>
      </c>
      <c r="E241" t="inlineStr">
        <is>
          <t>DERIVED</t>
        </is>
      </c>
      <c r="F241" t="inlineStr">
        <is>
          <t>gen 4,665 + spec 14,309; NPL 5.5% x 689,832 = 37,941</t>
        </is>
      </c>
      <c r="G241" t="inlineStr">
        <is>
          <t>Đúng mục tiêu "giữ bao phủ 50%" của CV</t>
        </is>
      </c>
    </row>
    <row r="242">
      <c r="A242" t="inlineStr">
        <is>
          <t>R5</t>
        </is>
      </c>
      <c r="B242" t="inlineStr">
        <is>
          <t>NPL FY26F / FY27F / FY28F</t>
        </is>
      </c>
      <c r="C242" t="inlineStr">
        <is>
          <t>5.5 / 4.0 / 2.7</t>
        </is>
      </c>
      <c r="D242" t="inlineStr">
        <is>
          <t>%</t>
        </is>
      </c>
      <c r="E242" t="inlineStr">
        <is>
          <t>MAS</t>
        </is>
      </c>
      <c r="F242" t="inlineStr">
        <is>
          <t>NPL!N26=0.933 N27=0.012 N28=0.009 N29=0.012 N30=0.034 (tổng 1.000)</t>
        </is>
      </c>
      <c r="G242" t="inlineStr">
        <is>
          <t>Hàm ý nợ xấu phát sinh mới 2H26 = 1,780 tỷ, bằng 23% nhịp 1H26 (7,800) — khớp giả định "chậm lại còn 20% nhịp 1H" CV đưa ra trước đó</t>
        </is>
      </c>
    </row>
    <row r="243">
      <c r="A243" t="inlineStr">
        <is>
          <t>R6</t>
        </is>
      </c>
      <c r="B243" t="inlineStr">
        <is>
          <t>CIR FY26F / FY27F / FY28F</t>
        </is>
      </c>
      <c r="C243" t="inlineStr">
        <is>
          <t>40.0 / 38.0 / 36.0</t>
        </is>
      </c>
      <c r="D243" t="inlineStr">
        <is>
          <t>%</t>
        </is>
      </c>
      <c r="E243" t="inlineStr">
        <is>
          <t>MAS</t>
        </is>
      </c>
      <c r="F243" t="inlineStr">
        <is>
          <t>Model!Y132=X132*1 và Y134=X134*1 (lương và chi phí khác đi ngang so với FY25); Z132/Z134 = *1.015; AA132/AA134 = *1.106. Khấu hao Y133/Z133/AA133 giữ nguyên build cũ</t>
        </is>
      </c>
      <c r="G24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44">
      <c r="A244" t="inlineStr">
        <is>
          <t>R6b</t>
        </is>
      </c>
      <c r="B244" t="inlineStr">
        <is>
          <t>Ràng buộc của mục tiêu CIR 38% năm FY27F</t>
        </is>
      </c>
      <c r="C244" t="inlineStr">
        <is>
          <t>+1.5%</t>
        </is>
      </c>
      <c r="D244" t="inlineStr">
        <is>
          <t>% tăng opex</t>
        </is>
      </c>
      <c r="E244" t="inlineStr">
        <is>
          <t>GAP</t>
        </is>
      </c>
      <c r="F244" t="inlineStr">
        <is>
          <t>TOI FY27F +11.1% nhưng khấu hao Z133 = Y133*1.2 (+20%) theo build gốc</t>
        </is>
      </c>
      <c r="G24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45">
      <c r="A245" t="inlineStr">
        <is>
          <t>R7</t>
        </is>
      </c>
      <c r="B245" t="inlineStr">
        <is>
          <t>Opex 2H26 hàm ý</t>
        </is>
      </c>
      <c r="C245" t="inlineStr">
        <is>
          <t>6831</t>
        </is>
      </c>
      <c r="D245" t="inlineStr">
        <is>
          <t>VNDbn</t>
        </is>
      </c>
      <c r="E245" t="inlineStr">
        <is>
          <t>DERIVED</t>
        </is>
      </c>
      <c r="F245" t="inlineStr">
        <is>
          <t>FY26F 13065 - 1H26 thực tế 6,233</t>
        </is>
      </c>
      <c r="G245" t="inlineStr">
        <is>
          <t>+9.6% so với 1H26 — vẫn phản ánh tính mùa vụ dồn về cuối năm, không phải cắt giảm chi phí</t>
        </is>
      </c>
    </row>
    <row r="246">
      <c r="A246" t="inlineStr">
        <is>
          <t>R8</t>
        </is>
      </c>
      <c r="B246" t="inlineStr">
        <is>
          <t>LNTT / LNST FY26F</t>
        </is>
      </c>
      <c r="C246" t="inlineStr">
        <is>
          <t>8151 / 6346</t>
        </is>
      </c>
      <c r="D246" t="inlineStr">
        <is>
          <t>VNDbn</t>
        </is>
      </c>
      <c r="E246" t="inlineStr">
        <is>
          <t>DERIVED</t>
        </is>
      </c>
      <c r="F246" t="inlineStr">
        <is>
          <t>TOI 32,956 - opex 13065 - dự phòng 11447</t>
        </is>
      </c>
      <c r="G246" t="inlineStr">
        <is>
          <t>+6.9% CK. Hàm ý LNTT 2H26 4015 tỷ = 14x nền 2H25 (297 tỷ) và +-2.9% so với 1H26</t>
        </is>
      </c>
    </row>
    <row r="247">
      <c r="A247" t="inlineStr">
        <is>
          <t>R9</t>
        </is>
      </c>
      <c r="B247" t="inlineStr">
        <is>
          <t>Dự phòng P&amp;L FY26F</t>
        </is>
      </c>
      <c r="C247" t="inlineStr">
        <is>
          <t>11447</t>
        </is>
      </c>
      <c r="D247" t="inlineStr">
        <is>
          <t>VNDbn</t>
        </is>
      </c>
      <c r="E247" t="inlineStr">
        <is>
          <t>DERIVED</t>
        </is>
      </c>
      <c r="F247" t="inlineStr">
        <is>
          <t>chung 687 + cụ thể 10,027 + VAMC 377</t>
        </is>
      </c>
      <c r="G247" t="inlineStr">
        <is>
          <t>-2.6% CK so với 11,384 của FY25; gần như không đổi so với 10,889 của bản trước</t>
        </is>
      </c>
    </row>
    <row r="248">
      <c r="A248" t="inlineStr">
        <is>
          <t>C1</t>
        </is>
      </c>
      <c r="B248" t="inlineStr">
        <is>
          <t>Model!X284 dự phòng cụ thể đầu kỳ</t>
        </is>
      </c>
      <c r="C248" t="inlineStr">
        <is>
          <t>4,891 -&gt; 16,078</t>
        </is>
      </c>
      <c r="D248" t="inlineStr">
        <is>
          <t>VNDbn</t>
        </is>
      </c>
      <c r="E248" t="inlineStr">
        <is>
          <t>CONFLICT</t>
        </is>
      </c>
      <c r="F248" t="inlineStr">
        <is>
          <t>Model!X264 (BCĐKT FY25) = 20,056 nhưng bảng chuyển động X274+X284 chỉ 8,869</t>
        </is>
      </c>
      <c r="G248" t="inlineStr">
        <is>
          <t>Lỗi có sẵn trong model: mọi tỷ lệ bao phủ dự phóng trước đây đều vô nghĩa. Đã sửa để X274+X284 = 20,056</t>
        </is>
      </c>
    </row>
    <row r="249">
      <c r="A249" t="inlineStr">
        <is>
          <t>G14</t>
        </is>
      </c>
      <c r="B249" t="inlineStr">
        <is>
          <t>Cân đối kế toán sau khi sửa X284</t>
        </is>
      </c>
      <c r="C249" t="inlineStr">
        <is>
          <t>0</t>
        </is>
      </c>
      <c r="D249" t="inlineStr">
        <is>
          <t>VNDbn</t>
        </is>
      </c>
      <c r="E249" t="inlineStr">
        <is>
          <t>MODEL</t>
        </is>
      </c>
      <c r="F249" t="inlineStr">
        <is>
          <t>Model!Y103 = 0 sau khi CV mở lại bằng Excel (bản 2b63c432)</t>
        </is>
      </c>
      <c r="G249" t="inlineStr">
        <is>
          <t>ĐÃ ĐÓNG — cảnh báo lệch -6,755 tỷ của tôi là SAI. Model tự cân đối; tổng tài sản Y61 = 1,014,277 (không phải 1,007,118 tôi ước tính)</t>
        </is>
      </c>
    </row>
    <row r="250">
      <c r="A250" t="inlineStr">
        <is>
          <t>R10</t>
        </is>
      </c>
      <c r="B250" t="inlineStr">
        <is>
          <t>Đối chiếu sau khi Excel tính lại</t>
        </is>
      </c>
      <c r="C250" t="inlineStr">
        <is>
          <t>khớp</t>
        </is>
      </c>
      <c r="E250" t="inlineStr">
        <is>
          <t>MODEL</t>
        </is>
      </c>
      <c r="F250" t="inlineStr">
        <is>
          <t>bản 2b63c432 do CV mở lại bằng Excel</t>
        </is>
      </c>
      <c r="G250" t="inlineStr">
        <is>
          <t>Opex Y135 13,182/13,913/15,367 khớp tuyệt đối; dự phòng Y254 11,091 khớp; dự phòng đã trích Y286 18,973 và bao phủ 50.0% khớp tuyệt đối</t>
        </is>
      </c>
    </row>
    <row r="251">
      <c r="A251" t="inlineStr">
        <is>
          <t>C2</t>
        </is>
      </c>
      <c r="B251" t="inlineStr">
        <is>
          <t>TOI dịch chuyển khi Excel tính lại</t>
        </is>
      </c>
      <c r="C251" t="inlineStr">
        <is>
          <t>32,662 vs 32,956</t>
        </is>
      </c>
      <c r="D251" t="inlineStr">
        <is>
          <t>VNDbn</t>
        </is>
      </c>
      <c r="E251" t="inlineStr">
        <is>
          <t>CONFLICT</t>
        </is>
      </c>
      <c r="F251" t="inlineStr">
        <is>
          <t>Model!Y117 = NII + phí + thu nhập khác</t>
        </is>
      </c>
      <c r="G251" t="inlineStr">
        <is>
          <t>Dự phòng đã trích lớn hơn làm cho vay thuần giảm -&gt; thu nhập lãi giảm. NII FY26F về 26,712 (+0.1% CK) từ 27,010. Hệ quả CIR trôi lên 40.36/37.66/36.48%, đã giải lại hệ số nhân opex về 0.9886/1.039/1.0739 để đúng 40/38/36%</t>
        </is>
      </c>
    </row>
    <row r="252">
      <c r="A252" t="inlineStr">
        <is>
          <t>N1</t>
        </is>
      </c>
      <c r="B252" t="inlineStr">
        <is>
          <t>NPL!DG6:DG11 cột 2Q26</t>
        </is>
      </c>
      <c r="C252" t="inlineStr">
        <is>
          <t>BY -&gt; BX</t>
        </is>
      </c>
      <c r="E252" t="inlineStr">
        <is>
          <t>MAS</t>
        </is>
      </c>
      <c r="F252" t="inlineStr">
        <is>
          <t>trỏ sang 'Notes(Quarter)'!BX81:BX86 (cột chèn thêm đẩy dữ liệu sang BX, BW là cột nhãn)</t>
        </is>
      </c>
      <c r="G252" t="inlineStr">
        <is>
          <t>Tổng 636,029; nhóm 1-5: 571,245 / 16,827 / 7,200 / 8,483 / 32,274. NPL 47,957 = 7.540% — khớp tuyệt đối con số trên slide</t>
        </is>
      </c>
    </row>
    <row r="253">
      <c r="A253" t="inlineStr">
        <is>
          <t>G19</t>
        </is>
      </c>
      <c r="B253" t="inlineStr">
        <is>
          <t>NPL hàng 19-21 lệch một dòng ở khối theo quý</t>
        </is>
      </c>
      <c r="E253" t="inlineStr">
        <is>
          <t>GAP</t>
        </is>
      </c>
      <c r="F253" t="inlineStr">
        <is>
          <t>DF19 = DF8/DF$22 (nợ nhóm 2 / nợ xấu) trong khi nhãn ghi "3) Substandard"</t>
        </is>
      </c>
      <c r="G253" t="inlineStr">
        <is>
          <t>CHƯA SỬA — lỗi có sẵn ở MỌI cột quý, không riêng 2Q26; hàng 19-21 cộng lại không bằng 100%. Không ảnh hưởng tỷ lệ NPL (hàng 23) vì hàng 22 = SUM(9:11) vẫn đúng. Sửa riêng cột DG sẽ phá nhóm shared formula</t>
        </is>
      </c>
    </row>
    <row r="254">
      <c r="A254" t="inlineStr">
        <is>
          <t>G15</t>
        </is>
      </c>
      <c r="B254" t="inlineStr">
        <is>
          <t>Giá mục tiêu vs sheet Valuation</t>
        </is>
      </c>
      <c r="C254" t="inlineStr">
        <is>
          <t>77,800 vs 65,600</t>
        </is>
      </c>
      <c r="D254" t="inlineStr">
        <is>
          <t>VND</t>
        </is>
      </c>
      <c r="E254" t="inlineStr">
        <is>
          <t>CONFLICT</t>
        </is>
      </c>
      <c r="F254" t="inlineStr">
        <is>
          <t>Valuation!B1 = J16 = P/B hợp lý FY27F x BPS FY27F</t>
        </is>
      </c>
      <c r="G254" t="inlineStr">
        <is>
          <t>Sheet Valuation cho 56,100 trước điều chỉnh và ~65,600 sau (ROE bền vững FY27F lên 15.5%, BPS 37,822). Slide vẫn để 77,800 — CHƯA ĐỊNH GIÁ LẠI, cần CV quyết</t>
        </is>
      </c>
    </row>
    <row r="255">
      <c r="A255" t="inlineStr">
        <is>
          <t>G16</t>
        </is>
      </c>
      <c r="B255" t="inlineStr">
        <is>
          <t>Giá mục tiêu ghi 77,500 trong file stock pick</t>
        </is>
      </c>
      <c r="C255" t="inlineStr">
        <is>
          <t>77,500 vs 77,800</t>
        </is>
      </c>
      <c r="D255" t="inlineStr">
        <is>
          <t>VND</t>
        </is>
      </c>
      <c r="E255" t="inlineStr">
        <is>
          <t>CONFLICT</t>
        </is>
      </c>
      <c r="F255" t="inlineStr">
        <is>
          <t>Stock Pick!D6 và Target Price!C13 ghi 77,500; cột J6/L6 lại tính trên 77,800</t>
        </is>
      </c>
      <c r="G255" t="inlineStr">
        <is>
          <t>CHƯA SỬA — chênh 0.4%, cần CV xác nhận số nào đúng</t>
        </is>
      </c>
    </row>
    <row r="256">
      <c r="A256" t="inlineStr">
        <is>
          <t>R11</t>
        </is>
      </c>
      <c r="B256" t="inlineStr">
        <is>
          <t>LNTT FY26F chốt cứng</t>
        </is>
      </c>
      <c r="C256" t="inlineStr">
        <is>
          <t>8,150</t>
        </is>
      </c>
      <c r="D256" t="inlineStr">
        <is>
          <t>VNDbn</t>
        </is>
      </c>
      <c r="E256" t="inlineStr">
        <is>
          <t>MAS</t>
        </is>
      </c>
      <c r="F256" t="inlineStr">
        <is>
          <t>Model!Y278 = 0.8802x; dự phòng 11,091 -&gt; 11,447 (+0.6% CK)</t>
        </is>
      </c>
      <c r="G256" t="inlineStr">
        <is>
          <t>CV chốt 8,150 tỷ (+6.9% CK, nhỉnh hơn kế hoạch 8,100 0.6%). Phần chênh lấy từ chi phí dự phòng, không đụng NPL 5.5% hay CIR 40%. Bao phủ 50.0% -&gt; 51.0%. Các bản trung gian đã thử 8,100 (0.8845x) và 8,507 = KH +5% (0.85x)</t>
        </is>
      </c>
    </row>
    <row r="257">
      <c r="A257" t="inlineStr">
        <is>
          <t>C3</t>
        </is>
      </c>
      <c r="B257" t="inlineStr">
        <is>
          <t>Kế hoạch LNTT FY26 8,100 tỷ</t>
        </is>
      </c>
      <c r="C257" t="inlineStr">
        <is>
          <t>suy ra</t>
        </is>
      </c>
      <c r="D257" t="inlineStr">
        <is>
          <t>VNDbn</t>
        </is>
      </c>
      <c r="E257" t="inlineStr">
        <is>
          <t>CONFLICT</t>
        </is>
      </c>
      <c r="F257" t="inlineStr">
        <is>
          <t>Suy ra từ 4,136/51% theo trích dẫn báo chí "hoàn thành 51% mục tiêu"</t>
        </is>
      </c>
      <c r="G257" t="inlineStr">
        <is>
          <t>CHƯA CÓ NGHỊ QUYẾT ĐHĐCĐ TRONG HỒ SƠ. Nay con số này là mỏ neo của dự phóng LNTT nên cần lấy nguồn gốc trước khi phát hành. KH FY25 ~14,670 (7,628/52%) cũng suy ra tương tự</t>
        </is>
      </c>
    </row>
    <row r="258">
      <c r="A258" t="inlineStr">
        <is>
          <t>C4</t>
        </is>
      </c>
      <c r="B258" t="inlineStr">
        <is>
          <t>Slide ghi "ban lãnh đạo dự kiến ~5.6%" nợ xấu</t>
        </is>
      </c>
      <c r="C258" t="inlineStr">
        <is>
          <t>5.6%</t>
        </is>
      </c>
      <c r="D258" t="inlineStr">
        <is>
          <t>%</t>
        </is>
      </c>
      <c r="E258" t="inlineStr">
        <is>
          <t>CONFLICT</t>
        </is>
      </c>
      <c r="F258" t="inlineStr">
        <is>
          <t>Dòng 10 ghi 5.6% xuất hiện ở bản 24/07 dưới dạng "ước ~5.6%" — tức ước tính của MAS</t>
        </is>
      </c>
      <c r="G258" t="inlineStr">
        <is>
          <t>CHƯA SỬA — slide đang gán cho ban lãnh đạo. Nếu không có công bố của STB thì phải viết lại, đây là chỗ duy nhất trong khối STB có nguy cơ trình bày ước tính MAS như guidance</t>
        </is>
      </c>
    </row>
    <row r="259">
      <c r="A259" t="inlineStr">
        <is>
          <t>G17</t>
        </is>
      </c>
      <c r="B259" t="inlineStr">
        <is>
          <t>Tăng trưởng tín dụng FY26F 11.7% vs 1.5% thực hiện 1H26</t>
        </is>
      </c>
      <c r="E259" t="inlineStr">
        <is>
          <t>GAP</t>
        </is>
      </c>
      <c r="F259" t="inlineStr">
        <is>
          <t>Model!Y206 = 10.1%; slide ghi 11.7%</t>
        </is>
      </c>
      <c r="G259" t="inlineStr">
        <is>
          <t>CHƯA XỬ LÝ — CV đã cân nhắc dùng làm đòn bẩy đưa LNTT về kế hoạch nhưng chọn dự phòng. Dư nợ dựng từ dưới lên theo 6 phân khúc (Model!Y23:Y28) nên phải tính lại bằng Excel</t>
        </is>
      </c>
    </row>
    <row r="260">
      <c r="A260" t="inlineStr">
        <is>
          <t>G18</t>
        </is>
      </c>
      <c r="B260" t="inlineStr">
        <is>
          <t>Model chưa mở lại bằng Excel</t>
        </is>
      </c>
      <c r="E260" t="inlineStr">
        <is>
          <t>GAP</t>
        </is>
      </c>
      <c r="F260" t="inlineStr">
        <is>
          <t>fullCalcOnLoad=1 đã bật</t>
        </is>
      </c>
      <c r="G260" t="inlineStr">
        <is>
          <t>Toàn bộ số ở trên tính lại bằng Python theo đúng chuỗi công thức của model (fix_stb_model.cascade); cần mở Excel đối chiếu trước khi phát hành</t>
        </is>
      </c>
    </row>
    <row r="262">
      <c r="B262" s="13" t="inlineStr">
        <is>
          <t>STB + FPT — REVISION 04/08/2026 (bản deck August2026)</t>
        </is>
      </c>
    </row>
    <row r="263">
      <c r="A263" t="inlineStr">
        <is>
          <t>A1</t>
        </is>
      </c>
      <c r="B263" t="inlineStr">
        <is>
          <t>Nguồn số liệu STB</t>
        </is>
      </c>
      <c r="C263" t="inlineStr">
        <is>
          <t>model đã tính lại</t>
        </is>
      </c>
      <c r="E263" t="inlineStr">
        <is>
          <t>MODEL</t>
        </is>
      </c>
      <c r="F263" t="inlineStr">
        <is>
          <t>8ce85368-FinModel_STB_2Q26.xlsx do CV mở bằng Excel</t>
        </is>
      </c>
      <c r="G263" t="inlineStr">
        <is>
          <t>Mọi số STB trên slide đọc thẳng từ file này (update_aug_deck.py), không gõ lại</t>
        </is>
      </c>
    </row>
    <row r="264">
      <c r="A264" t="inlineStr">
        <is>
          <t>A2</t>
        </is>
      </c>
      <c r="B264" t="inlineStr">
        <is>
          <t>CV hạ tỷ lệ xóa nợ FY27F / FY28F</t>
        </is>
      </c>
      <c r="C264" t="inlineStr">
        <is>
          <t>-1.2% / -0.7%</t>
        </is>
      </c>
      <c r="D264" t="inlineStr">
        <is>
          <t>% dư nợ</t>
        </is>
      </c>
      <c r="E264" t="inlineStr">
        <is>
          <t>MAS</t>
        </is>
      </c>
      <c r="F264" t="inlineStr">
        <is>
          <t>Model!Z287 (từ -0.9%), AA287 (từ -0.5%)</t>
        </is>
      </c>
      <c r="G264" t="inlineStr">
        <is>
          <t>Dự phòng FY27F 8,229 -&gt; 10,595 và FY28F 5,816 -&gt; 7,628. LNTT FY27F 14,676 -&gt; 12,293, FY28F 21,145 -&gt; 20,064. Tỷ lệ trích/xóa vẫn 1.0x nên dự phòng đã trích không đổi</t>
        </is>
      </c>
    </row>
    <row r="265">
      <c r="A265" t="inlineStr">
        <is>
          <t>A3</t>
        </is>
      </c>
      <c r="B265" t="inlineStr">
        <is>
          <t>LNTT / LNST FY26F</t>
        </is>
      </c>
      <c r="C265" t="inlineStr">
        <is>
          <t>8143 / 6340</t>
        </is>
      </c>
      <c r="D265" t="inlineStr">
        <is>
          <t>VNDbn</t>
        </is>
      </c>
      <c r="E265" t="inlineStr">
        <is>
          <t>MODEL</t>
        </is>
      </c>
      <c r="F265" t="inlineStr">
        <is>
          <t>Model!Y144 / Y153</t>
        </is>
      </c>
      <c r="G265" t="inlineStr">
        <is>
          <t>+6.7% CK. Mục tiêu đặt là 8,150; Excel ra 8143 — lệch 7 tỷ do vòng phản hồi lợi nhuận -&gt; vốn chủ -&gt; tài sản -&gt; thu nhập lãi. Lấy số của model</t>
        </is>
      </c>
    </row>
    <row r="266">
      <c r="A266" t="inlineStr">
        <is>
          <t>A4</t>
        </is>
      </c>
      <c r="B266" t="inlineStr">
        <is>
          <t>CIR FY26F / FY27F / FY28F</t>
        </is>
      </c>
      <c r="C266" t="inlineStr">
        <is>
          <t>40.0 / 38.0 / 35.4</t>
        </is>
      </c>
      <c r="D266" t="inlineStr">
        <is>
          <t>%</t>
        </is>
      </c>
      <c r="E266" t="inlineStr">
        <is>
          <t>MODEL</t>
        </is>
      </c>
      <c r="F266" t="inlineStr">
        <is>
          <t>Model!Y135 / (Y136+Y135)</t>
        </is>
      </c>
      <c r="G266" t="inlineStr">
        <is>
          <t>FY26F và FY27F đúng mục tiêu 40/38%. FY28F ra 35.4% thay vì 36% do TOI tăng (42,858 vs 42,126 khi giải hệ số). CHƯA GIẢI LẠI — chờ CV quyết</t>
        </is>
      </c>
    </row>
    <row r="267">
      <c r="A267" t="inlineStr">
        <is>
          <t>A5</t>
        </is>
      </c>
      <c r="B267" t="inlineStr">
        <is>
          <t>Giá mục tiêu STB</t>
        </is>
      </c>
      <c r="C267" t="inlineStr">
        <is>
          <t>81,400</t>
        </is>
      </c>
      <c r="D267" t="inlineStr">
        <is>
          <t>VND</t>
        </is>
      </c>
      <c r="E267" t="inlineStr">
        <is>
          <t>MAS</t>
        </is>
      </c>
      <c r="F267" t="inlineStr">
        <is>
          <t>Ô khuyến nghị slide 0/1 do CV đặt (từ 77,800)</t>
        </is>
      </c>
      <c r="G267" t="inlineStr">
        <is>
          <t>Thị giá 74,100 (04/08/26) -&gt; lợi nhuận kỳ vọng 10%. P/E và P/B toàn bộ bảng FY tính lại trên giá này, gồm cả các năm quá khứ vì hàng này vốn dựng theo giá mục tiêu</t>
        </is>
      </c>
    </row>
    <row r="268">
      <c r="A268" t="inlineStr">
        <is>
          <t>A6</t>
        </is>
      </c>
      <c r="B268" t="inlineStr">
        <is>
          <t>Bao phủ FY26F</t>
        </is>
      </c>
      <c r="C268" t="inlineStr">
        <is>
          <t>50.9%</t>
        </is>
      </c>
      <c r="D268" t="inlineStr">
        <is>
          <t>%</t>
        </is>
      </c>
      <c r="E268" t="inlineStr">
        <is>
          <t>DERIVED</t>
        </is>
      </c>
      <c r="F268" t="inlineStr">
        <is>
          <t>Model!Y286 19330 / NPL 37,941</t>
        </is>
      </c>
      <c r="G268" t="inlineStr">
        <is>
          <t>Trích thêm 2H26 4.3 nghìn tỷ (dự phòng cả năm 11447 - 1H26 7,119)</t>
        </is>
      </c>
    </row>
    <row r="269">
      <c r="A269" t="inlineStr">
        <is>
          <t>A7</t>
        </is>
      </c>
      <c r="B269" t="inlineStr">
        <is>
          <t>Tăng trưởng EPS 26F trên ô tóm tắt</t>
        </is>
      </c>
      <c r="C269" t="inlineStr">
        <is>
          <t>6.7</t>
        </is>
      </c>
      <c r="D269" t="inlineStr">
        <is>
          <t>%</t>
        </is>
      </c>
      <c r="E269" t="inlineStr">
        <is>
          <t>DERIVED</t>
        </is>
      </c>
      <c r="F269" t="inlineStr">
        <is>
          <t>EPS 26F 3077 / EPS 25 2,883</t>
        </is>
      </c>
      <c r="G269" t="inlineStr">
        <is>
          <t>ĐÃ SỬA từ 10.8 mà CV điền — con số đó không khớp bất kỳ dòng nào của model</t>
        </is>
      </c>
    </row>
    <row r="270">
      <c r="A270" t="inlineStr">
        <is>
          <t>F1</t>
        </is>
      </c>
      <c r="B270" t="inlineStr">
        <is>
          <t>FPT: hàng P/E đưa hết về giá mục tiêu</t>
        </is>
      </c>
      <c r="C270" t="inlineStr">
        <is>
          <t>18.9/18.0/17.3</t>
        </is>
      </c>
      <c r="D270" t="inlineStr">
        <is>
          <t>x</t>
        </is>
      </c>
      <c r="E270" t="inlineStr">
        <is>
          <t>MAS</t>
        </is>
      </c>
      <c r="F270" t="inlineStr">
        <is>
          <t>Giá mục tiêu 87,950 chia EPS từng năm</t>
        </is>
      </c>
      <c r="G270" t="inlineStr">
        <is>
          <t>Trước đây FY23-25 tính theo giá từng năm (19.7/18.8/18.1) còn FY26F-28F đã theo giá mục tiêu — hàng này lẫn hai cách. Nay thống nhất, giống cách dựng của STB</t>
        </is>
      </c>
    </row>
    <row r="271">
      <c r="A271" t="inlineStr">
        <is>
          <t>F2</t>
        </is>
      </c>
      <c r="B271" t="inlineStr">
        <is>
          <t>FPT: hàng P/B vẫn lẫn hai cách</t>
        </is>
      </c>
      <c r="C271" t="inlineStr">
        <is>
          <t>4.7/4.5/4.3</t>
        </is>
      </c>
      <c r="D271" t="inlineStr">
        <is>
          <t>x</t>
        </is>
      </c>
      <c r="E271" t="inlineStr">
        <is>
          <t>GAP</t>
        </is>
      </c>
      <c r="F271" t="inlineStr">
        <is>
          <t>FY23-25 theo giá từng năm; FY26F-28F theo giá mục tiêu (87,950/25,116 = 3.5)</t>
        </is>
      </c>
      <c r="G271" t="inlineStr">
        <is>
          <t>CHƯA SỬA — CV chỉ yêu cầu P/E. Lỗi hoàn toàn tương tự, sửa hay không tùy CV</t>
        </is>
      </c>
    </row>
    <row r="272">
      <c r="A272" t="inlineStr">
        <is>
          <t>G20</t>
        </is>
      </c>
      <c r="B272" t="inlineStr">
        <is>
          <t>Model!AA117 thiếu dòng NII</t>
        </is>
      </c>
      <c r="E272" t="inlineStr">
        <is>
          <t>GAP</t>
        </is>
      </c>
      <c r="F272" t="inlineStr">
        <is>
          <t>AA117 = +AA124+AA131 trong khi Y117/Z117 = Y121+Y124+Y131</t>
        </is>
      </c>
      <c r="G272" t="inlineStr">
        <is>
          <t>Lỗi có sẵn: ô TOI cột FY28F bỏ mất thu nhập lãi thuần, ra 8,779 thay vì 42,858. Chỉ là ô hiển thị, không có gì phía sau đọc nó, nhưng nên sửa</t>
        </is>
      </c>
    </row>
    <row r="273">
      <c r="A273" t="inlineStr">
        <is>
          <t>C3</t>
        </is>
      </c>
      <c r="B273" t="inlineStr">
        <is>
          <t>Kế hoạch LNTT FY26 8,100 tỷ</t>
        </is>
      </c>
      <c r="C273" t="inlineStr">
        <is>
          <t>suy ra</t>
        </is>
      </c>
      <c r="D273" t="inlineStr">
        <is>
          <t>VNDbn</t>
        </is>
      </c>
      <c r="E273" t="inlineStr">
        <is>
          <t>CONFLICT</t>
        </is>
      </c>
      <c r="F273" t="inlineStr">
        <is>
          <t>Suy ra từ 4,136/51% theo trích dẫn báo chí "hoàn thành 51% mục tiêu"</t>
        </is>
      </c>
      <c r="G273" t="inlineStr">
        <is>
          <t>CHƯA CÓ NGHỊ QUYẾT ĐHĐCĐ TRONG HỒ SƠ. Slide đang neo dự phóng vào con số này</t>
        </is>
      </c>
    </row>
    <row r="274">
      <c r="A274" t="inlineStr">
        <is>
          <t>C4</t>
        </is>
      </c>
      <c r="B274" t="inlineStr">
        <is>
          <t>Slide ghi "ban lãnh đạo dự kiến ~5.6%" nợ xấu</t>
        </is>
      </c>
      <c r="C274" t="inlineStr">
        <is>
          <t>5.6%</t>
        </is>
      </c>
      <c r="D274" t="inlineStr">
        <is>
          <t>%</t>
        </is>
      </c>
      <c r="E274" t="inlineStr">
        <is>
          <t>CONFLICT</t>
        </is>
      </c>
      <c r="F274" t="inlineStr">
        <is>
          <t>Dòng 10 ghi 5.6% xuất hiện ở bản 24/07 dưới dạng "ước ~5.6%" — ước tính của MAS</t>
        </is>
      </c>
      <c r="G274" t="inlineStr">
        <is>
          <t>CHƯA SỬA — nếu không có công bố của STB thì phải viết lại</t>
        </is>
      </c>
    </row>
    <row r="275">
      <c r="A275" t="inlineStr">
        <is>
          <t>G15</t>
        </is>
      </c>
      <c r="B275" t="inlineStr">
        <is>
          <t>Giá mục tiêu STB vs sheet Valuation</t>
        </is>
      </c>
      <c r="C275" t="inlineStr">
        <is>
          <t>81,400 vs ~65,600</t>
        </is>
      </c>
      <c r="D275" t="inlineStr">
        <is>
          <t>VND</t>
        </is>
      </c>
      <c r="E275" t="inlineStr">
        <is>
          <t>CONFLICT</t>
        </is>
      </c>
      <c r="F275" t="inlineStr">
        <is>
          <t>Valuation!B1 = P/B hợp lý FY27F x BPS FY27F</t>
        </is>
      </c>
      <c r="G275" t="inlineStr">
        <is>
          <t>Khoảng cách nới rộng thêm khi giá mục tiêu lên 81,400 — CHƯA ĐỊNH GIÁ LẠI</t>
        </is>
      </c>
    </row>
    <row r="276">
      <c r="A276" t="inlineStr">
        <is>
          <t>G16</t>
        </is>
      </c>
      <c r="B276" t="inlineStr">
        <is>
          <t>Giá mục tiêu ghi 77,500 trong file stock pick</t>
        </is>
      </c>
      <c r="C276" t="inlineStr">
        <is>
          <t>77,500</t>
        </is>
      </c>
      <c r="D276" t="inlineStr">
        <is>
          <t>VND</t>
        </is>
      </c>
      <c r="E276" t="inlineStr">
        <is>
          <t>CONFLICT</t>
        </is>
      </c>
      <c r="F276" t="inlineStr">
        <is>
          <t>Stock Pick!D6 và Target Price!C13 vẫn ghi 77,500</t>
        </is>
      </c>
      <c r="G276" t="inlineStr">
        <is>
          <t>CHƯA SỬA — nay lệch 3,900đ so với 81,400 trên slide, cần CV xác nhận</t>
        </is>
      </c>
    </row>
    <row r="277">
      <c r="A277" t="inlineStr">
        <is>
          <t>G17</t>
        </is>
      </c>
      <c r="B277" t="inlineStr">
        <is>
          <t>Tăng trưởng tín dụng FY26F vs 1.5% thực hiện 1H26</t>
        </is>
      </c>
      <c r="E277" t="inlineStr">
        <is>
          <t>GAP</t>
        </is>
      </c>
      <c r="F277" t="inlineStr">
        <is>
          <t>Model!Y206 = 10.1%; slide ghi 11.7%</t>
        </is>
      </c>
      <c r="G277" t="inlineStr">
        <is>
          <t>CHƯA XỬ LÝ</t>
        </is>
      </c>
    </row>
    <row r="278">
      <c r="A278" t="inlineStr">
        <is>
          <t>G19</t>
        </is>
      </c>
      <c r="B278" t="inlineStr">
        <is>
          <t>NPL hàng 19-21 lệch một dòng ở khối theo quý</t>
        </is>
      </c>
      <c r="E278" t="inlineStr">
        <is>
          <t>GAP</t>
        </is>
      </c>
      <c r="F278" t="inlineStr">
        <is>
          <t>DF19/DG19 = nợ nhóm 2 / nợ xấu trong khi nhãn ghi "3) Substandard"</t>
        </is>
      </c>
      <c r="G278" t="inlineStr">
        <is>
          <t>CHƯA SỬA — lỗi ở mọi cột quý. Không ảnh hưởng tỷ lệ NPL hàng 23</t>
        </is>
      </c>
    </row>
    <row r="280">
      <c r="B280" s="13" t="inlineStr">
        <is>
          <t>STB — REVISION 05/08/2026 (tăng dự phòng FY27F, FY28F)</t>
        </is>
      </c>
    </row>
    <row r="281">
      <c r="A281" t="inlineStr">
        <is>
          <t>A8</t>
        </is>
      </c>
      <c r="B281" t="inlineStr">
        <is>
          <t>Trích thêm dự phòng FY27F và FY28F</t>
        </is>
      </c>
      <c r="C281" t="inlineStr">
        <is>
          <t>1,000 / 1,000</t>
        </is>
      </c>
      <c r="D281" t="inlineStr">
        <is>
          <t>VNDbn</t>
        </is>
      </c>
      <c r="E281" t="inlineStr">
        <is>
          <t>MAS</t>
        </is>
      </c>
      <c r="F281" t="inlineStr">
        <is>
          <t>Model!Z278 = -Z279+1000, AA278 = -AA279+1000 (trước đó = -Z279*1, -AA279*1)</t>
        </is>
      </c>
      <c r="G28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2,000 tỷ lũy kế FY28F</t>
        </is>
      </c>
    </row>
    <row r="282">
      <c r="A282" t="inlineStr">
        <is>
          <t>A9</t>
        </is>
      </c>
      <c r="B282" t="inlineStr">
        <is>
          <t>Chi phí dự phòng FY26F / FY27F / FY28F</t>
        </is>
      </c>
      <c r="C282" t="inlineStr">
        <is>
          <t>10202 / 10636 / 7982</t>
        </is>
      </c>
      <c r="D282" t="inlineStr">
        <is>
          <t>VNDbn</t>
        </is>
      </c>
      <c r="E282" t="inlineStr">
        <is>
          <t>MODEL</t>
        </is>
      </c>
      <c r="F282" t="inlineStr">
        <is>
          <t>Model!Y/Z/AA141</t>
        </is>
      </c>
      <c r="G282" t="inlineStr">
        <is>
          <t>FY27F từ 9,636 lên 10,636; FY28F từ 6,982 lên 7,982</t>
        </is>
      </c>
    </row>
    <row r="283">
      <c r="A283" t="inlineStr">
        <is>
          <t>A10</t>
        </is>
      </c>
      <c r="B283" t="inlineStr">
        <is>
          <t>LNTT FY27F / FY28F</t>
        </is>
      </c>
      <c r="C283" t="inlineStr">
        <is>
          <t>9872 / 16271</t>
        </is>
      </c>
      <c r="D283" t="inlineStr">
        <is>
          <t>VNDbn</t>
        </is>
      </c>
      <c r="E283" t="inlineStr">
        <is>
          <t>MODEL</t>
        </is>
      </c>
      <c r="F283" t="inlineStr">
        <is>
          <t>Model!Z144 / AA144</t>
        </is>
      </c>
      <c r="G283" t="inlineStr">
        <is>
          <t>FY27F từ 10,872 xuống 9872 (+32.3% CK, trước là +45.7%); FY28F từ 17,271 xuống 16271 (+64.8% CK, trước là +58.9%). Nền FY27F thấp hơn nên tăng trưởng FY28F cao lên</t>
        </is>
      </c>
    </row>
    <row r="284">
      <c r="A284" t="inlineStr">
        <is>
          <t>A11</t>
        </is>
      </c>
      <c r="B284" t="inlineStr">
        <is>
          <t>LNST / ROE FY27F / FY28F</t>
        </is>
      </c>
      <c r="C284" t="inlineStr">
        <is>
          <t>7686 / 12668</t>
        </is>
      </c>
      <c r="D284" t="inlineStr">
        <is>
          <t>VNDbn</t>
        </is>
      </c>
      <c r="E284" t="inlineStr">
        <is>
          <t>MODEL</t>
        </is>
      </c>
      <c r="F284" t="inlineStr">
        <is>
          <t>Model!Z153, AA153, Z314, AA314</t>
        </is>
      </c>
      <c r="G284" t="inlineStr">
        <is>
          <t>ROE FY27F 11.0% (từ 12.1%), FY28F 15.9% (từ 16.6%). Vốn chủ cuối FY28F 86084 tỷ, thấp hơn 1,557 tỷ so với bản trước do lợi nhuận giữ lại giảm</t>
        </is>
      </c>
    </row>
    <row r="285">
      <c r="A285" t="inlineStr">
        <is>
          <t>A12</t>
        </is>
      </c>
      <c r="B285" t="inlineStr">
        <is>
          <t>P/E, P/B FY27F / FY28F trên giá mục tiêu 75,000</t>
        </is>
      </c>
      <c r="C285" t="inlineStr">
        <is>
          <t>20.1 / 12.2 x</t>
        </is>
      </c>
      <c r="D285" t="inlineStr">
        <is>
          <t>x</t>
        </is>
      </c>
      <c r="E285" t="inlineStr">
        <is>
          <t>DERIVED</t>
        </is>
      </c>
      <c r="F285" t="inlineStr">
        <is>
          <t>EPS FY27F 3731, FY28F 6149 trên 2060 triệu cổ phiếu</t>
        </is>
      </c>
      <c r="G285" t="inlineStr">
        <is>
          <t>P/E FY27F từ 18.3 lên 20.1, FY28F từ 11.5 lên 12.2</t>
        </is>
      </c>
    </row>
    <row r="286">
      <c r="A286" t="inlineStr">
        <is>
          <t>G21</t>
        </is>
      </c>
      <c r="B286" t="inlineStr">
        <is>
          <t>Đỉnh dự phòng dời từ FY26F sang FY27F</t>
        </is>
      </c>
      <c r="E286" t="inlineStr">
        <is>
          <t>GAP</t>
        </is>
      </c>
      <c r="F286" t="inlineStr">
        <is>
          <t>Dự phòng 10202 / 10636 / 7982 trong khi xóa nợ 10,955 / 8,637 / 5,779</t>
        </is>
      </c>
      <c r="G286" t="inlineStr">
        <is>
          <t>Phần trích thêm đẩy chi phí FY27F vượt FY26F dù xóa nợ giảm 21%. Đây là hệ quả trực tiếp của yêu cầu, không phải lỗi, nhưng làm chậm câu chuyện hồi phục một năm</t>
        </is>
      </c>
    </row>
    <row r="287">
      <c r="A287" t="inlineStr">
        <is>
          <t>G22</t>
        </is>
      </c>
      <c r="B287" t="inlineStr">
        <is>
          <t>Bao phủ nợ xấu FY28F chạm ~100%</t>
        </is>
      </c>
      <c r="C287" t="inlineStr">
        <is>
          <t>51 / 71 / 100%</t>
        </is>
      </c>
      <c r="D287" t="inlineStr">
        <is>
          <t>%</t>
        </is>
      </c>
      <c r="E287" t="inlineStr">
        <is>
          <t>GAP</t>
        </is>
      </c>
      <c r="F287" t="inlineStr">
        <is>
          <t>Dự phòng đã trích 18926 / 20524 / 22305 trên nợ xấu 37157 / 28791 / 22290</t>
        </is>
      </c>
      <c r="G287" t="inlineStr">
        <is>
          <t>Trước khi trích thêm là 50.9 / 67.8 / 91.1%. Bao phủ 100% ở một ngân hàng vừa xử lý xong tồn đọng là mức rất cao — CV cân nhắc có muốn giữ hay không</t>
        </is>
      </c>
    </row>
    <row r="288">
      <c r="A288" t="inlineStr">
        <is>
          <t>G15</t>
        </is>
      </c>
      <c r="B288" t="inlineStr">
        <is>
          <t>Giá mục tiêu STB vs sheet Valuation</t>
        </is>
      </c>
      <c r="C288" t="inlineStr">
        <is>
          <t>75,000 vs ~46,500</t>
        </is>
      </c>
      <c r="D288" t="inlineStr">
        <is>
          <t>VND</t>
        </is>
      </c>
      <c r="E288" t="inlineStr">
        <is>
          <t>CONFLICT</t>
        </is>
      </c>
      <c r="F288" t="inlineStr">
        <is>
          <t>Valuation: P/B hợp lý (ROE 12.1% - 2.5%) / (10.01% - 2.5%) = 1.29x x BPS 36,014</t>
        </is>
      </c>
      <c r="G288" t="inlineStr">
        <is>
          <t>ROE FY27F nay chỉ còn 11.0% nên P/B hợp lý tính lại còn thấp hơn nữa. CHƯA ĐỊNH GIÁ LẠI</t>
        </is>
      </c>
    </row>
    <row r="290">
      <c r="B290" s="13" t="inlineStr">
        <is>
          <t>STB — REVISION 05/08/2026 b (dự phòng FY27F +1,000, FY28F +2,000)</t>
        </is>
      </c>
    </row>
    <row r="291">
      <c r="A291" t="inlineStr">
        <is>
          <t>A8</t>
        </is>
      </c>
      <c r="B291" t="inlineStr">
        <is>
          <t>Trích thêm dự phòng FY27F và FY28F</t>
        </is>
      </c>
      <c r="C291" t="inlineStr">
        <is>
          <t>1,000 / 2,000</t>
        </is>
      </c>
      <c r="D291" t="inlineStr">
        <is>
          <t>VNDbn</t>
        </is>
      </c>
      <c r="E291" t="inlineStr">
        <is>
          <t>MAS</t>
        </is>
      </c>
      <c r="F291" t="inlineStr">
        <is>
          <t>Model!Z278 = -Z279+1000, AA278 = -AA279+2000 (trước đó = -Z279*1, -AA279*1)</t>
        </is>
      </c>
      <c r="G29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292">
      <c r="A292" t="inlineStr">
        <is>
          <t>A9</t>
        </is>
      </c>
      <c r="B292" t="inlineStr">
        <is>
          <t>Chi phí dự phòng FY26F / FY27F / FY28F</t>
        </is>
      </c>
      <c r="C292" t="inlineStr">
        <is>
          <t>10202 / 10636 / 8982</t>
        </is>
      </c>
      <c r="D292" t="inlineStr">
        <is>
          <t>VNDbn</t>
        </is>
      </c>
      <c r="E292" t="inlineStr">
        <is>
          <t>MODEL</t>
        </is>
      </c>
      <c r="F292" t="inlineStr">
        <is>
          <t>Model!Y/Z/AA141</t>
        </is>
      </c>
      <c r="G292" t="inlineStr">
        <is>
          <t>FY27F từ 9,636 lên 10,636; FY28F từ 6,982 lên 8,982</t>
        </is>
      </c>
    </row>
    <row r="293">
      <c r="A293" t="inlineStr">
        <is>
          <t>A10</t>
        </is>
      </c>
      <c r="B293" t="inlineStr">
        <is>
          <t>LNTT FY27F / FY28F</t>
        </is>
      </c>
      <c r="C293" t="inlineStr">
        <is>
          <t>9872 / 15271</t>
        </is>
      </c>
      <c r="D293" t="inlineStr">
        <is>
          <t>VNDbn</t>
        </is>
      </c>
      <c r="E293" t="inlineStr">
        <is>
          <t>MODEL</t>
        </is>
      </c>
      <c r="F293" t="inlineStr">
        <is>
          <t>Model!Z144 / AA144</t>
        </is>
      </c>
      <c r="G293" t="inlineStr">
        <is>
          <t>FY27F từ 10,872 xuống 9872 (+32.3% CK, trước là +45.7%); FY28F từ 17,271 xuống 15271 (+54.7% CK, trước là +58.9%) — sát mục tiêu 50% CV đặt ở vòng trước</t>
        </is>
      </c>
    </row>
    <row r="294">
      <c r="A294" t="inlineStr">
        <is>
          <t>A11</t>
        </is>
      </c>
      <c r="B294" t="inlineStr">
        <is>
          <t>LNST / ROE FY27F / FY28F</t>
        </is>
      </c>
      <c r="C294" t="inlineStr">
        <is>
          <t>7686 / 11890</t>
        </is>
      </c>
      <c r="D294" t="inlineStr">
        <is>
          <t>VNDbn</t>
        </is>
      </c>
      <c r="E294" t="inlineStr">
        <is>
          <t>MODEL</t>
        </is>
      </c>
      <c r="F294" t="inlineStr">
        <is>
          <t>Model!Z153, AA153, Z314, AA314</t>
        </is>
      </c>
      <c r="G294" t="inlineStr">
        <is>
          <t>ROE FY27F 11.0% (từ 12.1%), FY28F 15.0% (từ 16.6%). Vốn chủ cuối FY28F 85305 tỷ, thấp hơn 2,336 tỷ so với bản trước do lợi nhuận giữ lại giảm</t>
        </is>
      </c>
    </row>
    <row r="295">
      <c r="A295" t="inlineStr">
        <is>
          <t>A12</t>
        </is>
      </c>
      <c r="B295" t="inlineStr">
        <is>
          <t>P/E, P/B FY27F / FY28F trên giá mục tiêu 75,000</t>
        </is>
      </c>
      <c r="C295" t="inlineStr">
        <is>
          <t>20.1 / 13.0 x</t>
        </is>
      </c>
      <c r="D295" t="inlineStr">
        <is>
          <t>x</t>
        </is>
      </c>
      <c r="E295" t="inlineStr">
        <is>
          <t>DERIVED</t>
        </is>
      </c>
      <c r="F295" t="inlineStr">
        <is>
          <t>EPS FY27F 3731, FY28F 5771 trên 2060 triệu cổ phiếu</t>
        </is>
      </c>
      <c r="G295" t="inlineStr">
        <is>
          <t>P/E FY27F từ 18.3 lên 20.1, FY28F từ 11.5 lên 13.0</t>
        </is>
      </c>
    </row>
    <row r="296">
      <c r="A296" t="inlineStr">
        <is>
          <t>G21</t>
        </is>
      </c>
      <c r="B296" t="inlineStr">
        <is>
          <t>Đỉnh dự phòng dời từ FY26F sang FY27F</t>
        </is>
      </c>
      <c r="E296" t="inlineStr">
        <is>
          <t>GAP</t>
        </is>
      </c>
      <c r="F296" t="inlineStr">
        <is>
          <t>Dự phòng 10202 / 10636 / 8982 trong khi xóa nợ 10,955 / 8,637 / 5,779</t>
        </is>
      </c>
      <c r="G296" t="inlineStr">
        <is>
          <t>Phần trích thêm đẩy chi phí FY27F vượt FY26F dù xóa nợ giảm 21%. Đây là hệ quả trực tiếp của yêu cầu, không phải lỗi, nhưng làm chậm câu chuyện hồi phục một năm</t>
        </is>
      </c>
    </row>
    <row r="297">
      <c r="A297" t="inlineStr">
        <is>
          <t>G22</t>
        </is>
      </c>
      <c r="B297" t="inlineStr">
        <is>
          <t>Bao phủ nợ xấu FY28F chạm ~100%</t>
        </is>
      </c>
      <c r="C297" t="inlineStr">
        <is>
          <t>51 / 71 / 105%</t>
        </is>
      </c>
      <c r="D297" t="inlineStr">
        <is>
          <t>%</t>
        </is>
      </c>
      <c r="E297" t="inlineStr">
        <is>
          <t>GAP</t>
        </is>
      </c>
      <c r="F297" t="inlineStr">
        <is>
          <t>Dự phòng đã trích 18926 / 20524 / 23305 trên nợ xấu 37157 / 28791 / 22290</t>
        </is>
      </c>
      <c r="G297"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298">
      <c r="A298" t="inlineStr">
        <is>
          <t>G23</t>
        </is>
      </c>
      <c r="B298" t="inlineStr">
        <is>
          <t>Đòn bẩy thay thế: hệ số 1.7x ở thu nhập khác FY28F</t>
        </is>
      </c>
      <c r="E298" t="inlineStr">
        <is>
          <t>GAP</t>
        </is>
      </c>
      <c r="F298" t="inlineStr">
        <is>
          <t>Model!AA129 = Z129/Z130*AA130*1.7 — thu hồi nợ đã xóa tăng 34% trong khi xóa nợ giảm 33% (8,637 -&gt; 5,779)</t>
        </is>
      </c>
      <c r="G298" t="inlineStr">
        <is>
          <t>CHƯA SỬA. Bỏ hệ số 1.7 sẽ hạ thu nhập khác FY28F 1,123 tỷ, tức cũng đạt mục tiêu hạ LNTT, nhưng kéo CIR FY28F từ 38.0% lên 39.1% nên phải giải lại hệ số chi phí</t>
        </is>
      </c>
    </row>
    <row r="299">
      <c r="A299" t="inlineStr">
        <is>
          <t>G15</t>
        </is>
      </c>
      <c r="B299" t="inlineStr">
        <is>
          <t>Giá mục tiêu STB vs sheet Valuation</t>
        </is>
      </c>
      <c r="C299" t="inlineStr">
        <is>
          <t>75,000 vs ~46,500</t>
        </is>
      </c>
      <c r="D299" t="inlineStr">
        <is>
          <t>VND</t>
        </is>
      </c>
      <c r="E299" t="inlineStr">
        <is>
          <t>CONFLICT</t>
        </is>
      </c>
      <c r="F299" t="inlineStr">
        <is>
          <t>Valuation: P/B hợp lý (ROE 12.1% - 2.5%) / (10.01% - 2.5%) = 1.29x x BPS 36,014</t>
        </is>
      </c>
      <c r="G299" t="inlineStr">
        <is>
          <t>ROE FY27F nay chỉ còn 11.0% nên P/B hợp lý tính lại còn thấp hơn nữa. CHƯA ĐỊNH GIÁ LẠI</t>
        </is>
      </c>
    </row>
    <row r="301">
      <c r="B301" s="13" t="inlineStr">
        <is>
          <t>STB — REVISION 05/08/2026 b (dự phòng FY27F +1,000, FY28F +2,000)</t>
        </is>
      </c>
    </row>
    <row r="302">
      <c r="A302" t="inlineStr">
        <is>
          <t>A8</t>
        </is>
      </c>
      <c r="B302" t="inlineStr">
        <is>
          <t>Trích thêm dự phòng FY27F và FY28F</t>
        </is>
      </c>
      <c r="C302" t="inlineStr">
        <is>
          <t>1,000 / 2,000</t>
        </is>
      </c>
      <c r="D302" t="inlineStr">
        <is>
          <t>VNDbn</t>
        </is>
      </c>
      <c r="E302" t="inlineStr">
        <is>
          <t>MAS</t>
        </is>
      </c>
      <c r="F302" t="inlineStr">
        <is>
          <t>Model!Z278 = -Z279+1000, AA278 = -AA279+2000 (trước đó = -Z279*1, -AA279*1)</t>
        </is>
      </c>
      <c r="G302"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303">
      <c r="A303" t="inlineStr">
        <is>
          <t>A9</t>
        </is>
      </c>
      <c r="B303" t="inlineStr">
        <is>
          <t>Chi phí dự phòng FY26F / FY27F / FY28F</t>
        </is>
      </c>
      <c r="C303" t="inlineStr">
        <is>
          <t>10202 / 10636 / 8982</t>
        </is>
      </c>
      <c r="D303" t="inlineStr">
        <is>
          <t>VNDbn</t>
        </is>
      </c>
      <c r="E303" t="inlineStr">
        <is>
          <t>MODEL</t>
        </is>
      </c>
      <c r="F303" t="inlineStr">
        <is>
          <t>Model!Y/Z/AA141</t>
        </is>
      </c>
      <c r="G303" t="inlineStr">
        <is>
          <t>FY27F từ 9,636 lên 10,636; FY28F từ 6,982 lên 8,982</t>
        </is>
      </c>
    </row>
    <row r="304">
      <c r="A304" t="inlineStr">
        <is>
          <t>A10</t>
        </is>
      </c>
      <c r="B304" t="inlineStr">
        <is>
          <t>LNTT FY27F / FY28F</t>
        </is>
      </c>
      <c r="C304" t="inlineStr">
        <is>
          <t>9872 / 15271</t>
        </is>
      </c>
      <c r="D304" t="inlineStr">
        <is>
          <t>VNDbn</t>
        </is>
      </c>
      <c r="E304" t="inlineStr">
        <is>
          <t>MODEL</t>
        </is>
      </c>
      <c r="F304" t="inlineStr">
        <is>
          <t>Model!Z144 / AA144</t>
        </is>
      </c>
      <c r="G304" t="inlineStr">
        <is>
          <t>FY27F từ 10,872 xuống 9872 (+32.3% CK, trước là +45.7%); FY28F từ 17,271 xuống 15271 (+54.7% CK, trước là +58.9%) — sát mục tiêu 50% CV đặt ở vòng trước</t>
        </is>
      </c>
    </row>
    <row r="305">
      <c r="A305" t="inlineStr">
        <is>
          <t>A11</t>
        </is>
      </c>
      <c r="B305" t="inlineStr">
        <is>
          <t>LNST / ROE FY27F / FY28F</t>
        </is>
      </c>
      <c r="C305" t="inlineStr">
        <is>
          <t>7686 / 11890</t>
        </is>
      </c>
      <c r="D305" t="inlineStr">
        <is>
          <t>VNDbn</t>
        </is>
      </c>
      <c r="E305" t="inlineStr">
        <is>
          <t>MODEL</t>
        </is>
      </c>
      <c r="F305" t="inlineStr">
        <is>
          <t>Model!Z153, AA153, Z314, AA314</t>
        </is>
      </c>
      <c r="G305" t="inlineStr">
        <is>
          <t>ROE FY27F 11.0% (từ 12.1%), FY28F 15.0% (từ 16.6%). Vốn chủ cuối FY28F 85305 tỷ, thấp hơn 2,336 tỷ so với bản trước do lợi nhuận giữ lại giảm</t>
        </is>
      </c>
    </row>
    <row r="306">
      <c r="A306" t="inlineStr">
        <is>
          <t>A12</t>
        </is>
      </c>
      <c r="B306" t="inlineStr">
        <is>
          <t>P/E, P/B FY27F / FY28F trên giá mục tiêu 75,000</t>
        </is>
      </c>
      <c r="C306" t="inlineStr">
        <is>
          <t>20.1 / 13.0 x</t>
        </is>
      </c>
      <c r="D306" t="inlineStr">
        <is>
          <t>x</t>
        </is>
      </c>
      <c r="E306" t="inlineStr">
        <is>
          <t>DERIVED</t>
        </is>
      </c>
      <c r="F306" t="inlineStr">
        <is>
          <t>EPS FY27F 3731, FY28F 5771 trên 2060 triệu cổ phiếu</t>
        </is>
      </c>
      <c r="G306" t="inlineStr">
        <is>
          <t>P/E FY27F từ 18.3 lên 20.1, FY28F từ 11.5 lên 13.0</t>
        </is>
      </c>
    </row>
    <row r="307">
      <c r="A307" t="inlineStr">
        <is>
          <t>G21</t>
        </is>
      </c>
      <c r="B307" t="inlineStr">
        <is>
          <t>Đỉnh dự phòng dời từ FY26F sang FY27F</t>
        </is>
      </c>
      <c r="E307" t="inlineStr">
        <is>
          <t>GAP</t>
        </is>
      </c>
      <c r="F307" t="inlineStr">
        <is>
          <t>Dự phòng 10202 / 10636 / 8982 trong khi xóa nợ 10,955 / 8,637 / 5,779</t>
        </is>
      </c>
      <c r="G307" t="inlineStr">
        <is>
          <t>Phần trích thêm đẩy chi phí FY27F vượt FY26F dù xóa nợ giảm 21%. Đây là hệ quả trực tiếp của yêu cầu, không phải lỗi, nhưng làm chậm câu chuyện hồi phục một năm</t>
        </is>
      </c>
    </row>
    <row r="308">
      <c r="A308" t="inlineStr">
        <is>
          <t>G22</t>
        </is>
      </c>
      <c r="B308" t="inlineStr">
        <is>
          <t>Bao phủ nợ xấu FY28F chạm ~100%</t>
        </is>
      </c>
      <c r="C308" t="inlineStr">
        <is>
          <t>51 / 71 / 105%</t>
        </is>
      </c>
      <c r="D308" t="inlineStr">
        <is>
          <t>%</t>
        </is>
      </c>
      <c r="E308" t="inlineStr">
        <is>
          <t>GAP</t>
        </is>
      </c>
      <c r="F308" t="inlineStr">
        <is>
          <t>Dự phòng đã trích 18926 / 20524 / 23305 trên nợ xấu 37157 / 28791 / 22290</t>
        </is>
      </c>
      <c r="G308"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309">
      <c r="A309" t="inlineStr">
        <is>
          <t>G23</t>
        </is>
      </c>
      <c r="B309" t="inlineStr">
        <is>
          <t>Đòn bẩy thay thế: hệ số 1.7x ở thu nhập khác FY28F</t>
        </is>
      </c>
      <c r="E309" t="inlineStr">
        <is>
          <t>GAP</t>
        </is>
      </c>
      <c r="F309" t="inlineStr">
        <is>
          <t>Model!AA129 = Z129/Z130*AA130*1.7 — thu hồi nợ đã xóa tăng 34% trong khi xóa nợ giảm 33% (8,637 -&gt; 5,779)</t>
        </is>
      </c>
      <c r="G309" t="inlineStr">
        <is>
          <t>CHƯA SỬA. Bỏ hệ số 1.7 sẽ hạ thu nhập khác FY28F 1,123 tỷ, tức cũng đạt mục tiêu hạ LNTT, nhưng kéo CIR FY28F từ 38.0% lên 39.1% nên phải giải lại hệ số chi phí</t>
        </is>
      </c>
    </row>
    <row r="310">
      <c r="A310" t="inlineStr">
        <is>
          <t>A13</t>
        </is>
      </c>
      <c r="B310" t="inlineStr">
        <is>
          <t>Slide dựng thẳng từ file model, không gõ tay</t>
        </is>
      </c>
      <c r="E310" t="inlineStr">
        <is>
          <t>MODEL</t>
        </is>
      </c>
      <c r="F310" t="inlineStr">
        <is>
          <t>model_read.py đọc FinModel_STB_2Q26.xlsx, tính lại các công thức dự án này đặt</t>
        </is>
      </c>
      <c r="G310" t="inlineStr">
        <is>
          <t>Trước đây các hằng số trên slide được chép tay từ workbook, mỗi vòng sửa là một lần chép lại. Nay update_stb_loans đọc thẳng. Cột FY26F đã được Excel tính lại nên dùng làm đối chứng: 9 dòng (chi phí HĐ, TOI, dự phòng, LNTT, LNST, vốn chủ, tổng tài sản, dự phòng đã trích, dư nợ) khớp tuyệt đối với cache của Excel</t>
        </is>
      </c>
    </row>
    <row r="311">
      <c r="A311" t="inlineStr">
        <is>
          <t>A14</t>
        </is>
      </c>
      <c r="B311" t="inlineStr">
        <is>
          <t>Sửa SLCP lưu hành và vốn hóa ở ô thông tin</t>
        </is>
      </c>
      <c r="C311" t="inlineStr">
        <is>
          <t>2,060 / 152,658</t>
        </is>
      </c>
      <c r="D311" t="inlineStr">
        <is>
          <t>triệu cp / tỷ đồng</t>
        </is>
      </c>
      <c r="E311" t="inlineStr">
        <is>
          <t>MODEL</t>
        </is>
      </c>
      <c r="F311" t="inlineStr">
        <is>
          <t>Vốn điều lệ 20,601.582 tỷ ('Balance sheet'!Y79) / mệnh giá 10,000 đồng; giá 74,100</t>
        </is>
      </c>
      <c r="G311" t="inlineStr">
        <is>
          <t>Ô thông tin ghi 1,885 triệu cp và vốn hóa 139,694 tỷ trong khi toàn bộ EPS, BVPS, P/E, P/B của bảng FY tính trên 2,060.158 triệu cp — chênh 9.3%. P/E 26F nếu tính trên 1,885 triệu cp sẽ là 24.3 chứ không phải 26.6. ĐÃ SỬA ô thông tin theo model</t>
        </is>
      </c>
    </row>
    <row r="312">
      <c r="A312" t="inlineStr">
        <is>
          <t>G15</t>
        </is>
      </c>
      <c r="B312" t="inlineStr">
        <is>
          <t>Giá mục tiêu STB vs sheet Valuation</t>
        </is>
      </c>
      <c r="C312" t="inlineStr">
        <is>
          <t>75,000 vs ~46,500</t>
        </is>
      </c>
      <c r="D312" t="inlineStr">
        <is>
          <t>VND</t>
        </is>
      </c>
      <c r="E312" t="inlineStr">
        <is>
          <t>CONFLICT</t>
        </is>
      </c>
      <c r="F312" t="inlineStr">
        <is>
          <t>Valuation: P/B hợp lý (ROE 12.1% - 2.5%) / (10.01% - 2.5%) = 1.29x x BPS 36,014</t>
        </is>
      </c>
      <c r="G312" t="inlineStr">
        <is>
          <t>ROE FY27F nay chỉ còn 11.0% nên P/B hợp lý tính lại còn thấp hơn nữa. CHƯA ĐỊNH GIÁ LẠI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2026-08-06T04:13:09Z</dcterms:modified>
</cp:coreProperties>
</file>