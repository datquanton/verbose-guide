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  <sheet xmlns:r="http://schemas.openxmlformats.org/officeDocument/2006/relationships" name="FPT Triang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5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  <row r="130">
      <c r="B130" s="13" t="inlineStr">
        <is>
          <t>STB — REVISION 04/08/2026: giữ bao phủ 50% -&gt; NPL 5.5%; CIR về 38-40%</t>
        </is>
      </c>
    </row>
    <row r="131">
      <c r="A131" t="inlineStr">
        <is>
          <t>R1</t>
        </is>
      </c>
      <c r="B131" t="inlineStr">
        <is>
          <t>Dự phòng đã trích cuối Q2/2026</t>
        </is>
      </c>
      <c r="C131" t="inlineStr">
        <is>
          <t>27,177</t>
        </is>
      </c>
      <c r="D131" t="inlineStr">
        <is>
          <t>VNDbn</t>
        </is>
      </c>
      <c r="E131" t="inlineStr">
        <is>
          <t>MODEL</t>
        </is>
      </c>
      <c r="F131" t="inlineStr">
        <is>
          <t>FinModel_STB_2Q26 Model!CA cột quý 2Q26; FY25 20,056 + 7,119 trích 1H26</t>
        </is>
      </c>
      <c r="G131" t="inlineStr">
        <is>
          <t>Bao phủ 56.7% (27,177/47,957), tăng từ 50.0% cuối 2025 — gần như chưa xóa nợ trong 1H26</t>
        </is>
      </c>
    </row>
    <row r="132">
      <c r="A132" t="inlineStr">
        <is>
          <t>R2</t>
        </is>
      </c>
      <c r="B132" t="inlineStr">
        <is>
          <t>Xóa nợ FY26F</t>
        </is>
      </c>
      <c r="C132" t="inlineStr">
        <is>
          <t>11796</t>
        </is>
      </c>
      <c r="D132" t="inlineStr">
        <is>
          <t>VNDbn</t>
        </is>
      </c>
      <c r="E132" t="inlineStr">
        <is>
          <t>DERIVED</t>
        </is>
      </c>
      <c r="F132" t="inlineStr">
        <is>
          <t>Model!Y287 = -1.71% x dư nợ 689,832 (trước: -0.95%)</t>
        </is>
      </c>
      <c r="G132" t="inlineStr">
        <is>
          <t>Nghiệm của bài toán giữ bao phủ 50%; tương đương 37% dư nợ nhóm 5 (~32,000)</t>
        </is>
      </c>
    </row>
    <row r="133">
      <c r="A133" t="inlineStr">
        <is>
          <t>R3</t>
        </is>
      </c>
      <c r="B133" t="inlineStr">
        <is>
          <t>Tỷ lệ trích/xóa FY26F</t>
        </is>
      </c>
      <c r="C133" t="inlineStr">
        <is>
          <t>0.85x</t>
        </is>
      </c>
      <c r="D133" t="inlineStr">
        <is>
          <t>x</t>
        </is>
      </c>
      <c r="E133" t="inlineStr">
        <is>
          <t>MAS</t>
        </is>
      </c>
      <c r="F133" t="inlineStr">
        <is>
          <t>Model!Y278 = -Y279*0.85 (trước: *1.5)</t>
        </is>
      </c>
      <c r="G133" t="inlineStr">
        <is>
          <t>Xử lý nợ tài trợ từ nguồn dự phòng đã trích, không từ P&amp;L. Giữ 1.5x trên mức xóa nợ này là nguyên nhân làm LNTT sụt 64% mà CV đã bác</t>
        </is>
      </c>
    </row>
    <row r="134">
      <c r="A134" t="inlineStr">
        <is>
          <t>R4</t>
        </is>
      </c>
      <c r="B134" t="inlineStr">
        <is>
          <t>Dự phòng đã trích cuối FY26F / bao phủ</t>
        </is>
      </c>
      <c r="C134" t="inlineStr">
        <is>
          <t>18973 / 50.0%</t>
        </is>
      </c>
      <c r="D134" t="inlineStr">
        <is>
          <t>VNDbn / %</t>
        </is>
      </c>
      <c r="E134" t="inlineStr">
        <is>
          <t>DERIVED</t>
        </is>
      </c>
      <c r="F134" t="inlineStr">
        <is>
          <t>gen 4,665 + spec 14,309; NPL 5.5% x 689,832 = 37,941</t>
        </is>
      </c>
      <c r="G134" t="inlineStr">
        <is>
          <t>Đúng mục tiêu "giữ bao phủ 50%" của CV</t>
        </is>
      </c>
    </row>
    <row r="135">
      <c r="A135" t="inlineStr">
        <is>
          <t>R5</t>
        </is>
      </c>
      <c r="B135" t="inlineStr">
        <is>
          <t>NPL FY26F / FY27F / FY28F</t>
        </is>
      </c>
      <c r="C135" t="inlineStr">
        <is>
          <t>5.5 / 4.0 / 2.7</t>
        </is>
      </c>
      <c r="D135" t="inlineStr">
        <is>
          <t>%</t>
        </is>
      </c>
      <c r="E135" t="inlineStr">
        <is>
          <t>MAS</t>
        </is>
      </c>
      <c r="F135" t="inlineStr">
        <is>
          <t>NPL!N26=0.933 N27=0.012 N28=0.009 N29=0.012 N30=0.034 (tổng 1.000)</t>
        </is>
      </c>
      <c r="G135" t="inlineStr">
        <is>
          <t>Hàm ý nợ xấu phát sinh mới 2H26 = 1,780 tỷ, bằng 23% nhịp 1H26 (7,800) — khớp giả định "chậm lại còn 20% nhịp 1H" CV đưa ra trước đó</t>
        </is>
      </c>
    </row>
    <row r="136">
      <c r="A136" t="inlineStr">
        <is>
          <t>R6</t>
        </is>
      </c>
      <c r="B136" t="inlineStr">
        <is>
          <t>CIR FY26F / FY27F / FY28F</t>
        </is>
      </c>
      <c r="C136" t="inlineStr">
        <is>
          <t>39.9 / 39.9 / 38.1</t>
        </is>
      </c>
      <c r="D136" t="inlineStr">
        <is>
          <t>%</t>
        </is>
      </c>
      <c r="E136" t="inlineStr">
        <is>
          <t>MAS</t>
        </is>
      </c>
      <c r="F136" t="inlineStr">
        <is>
          <t>Model!Y132=X132*1 (lương đi ngang), Y134=X134*0.99, Z132=Y132*1.08, AA132=Z132*1.1, AA134=Z134*1.15</t>
        </is>
      </c>
      <c r="G136" t="inlineStr">
        <is>
          <t>CIR 1H26 thực tế 35.6% (opex 6,233 / TOI 17,488). Build cũ cho 42.9% FY26F, tức opex 2H26 phải tăng 26.7% so với 1H26 — không có cơ sở</t>
        </is>
      </c>
    </row>
    <row r="137">
      <c r="A137" t="inlineStr">
        <is>
          <t>R7</t>
        </is>
      </c>
      <c r="B137" t="inlineStr">
        <is>
          <t>Opex 2H26 hàm ý</t>
        </is>
      </c>
      <c r="C137" t="inlineStr">
        <is>
          <t>6916</t>
        </is>
      </c>
      <c r="D137" t="inlineStr">
        <is>
          <t>VNDbn</t>
        </is>
      </c>
      <c r="E137" t="inlineStr">
        <is>
          <t>DERIVED</t>
        </is>
      </c>
      <c r="F137" t="inlineStr">
        <is>
          <t>FY26F 13149 - 1H26 thực tế 6,233</t>
        </is>
      </c>
      <c r="G137" t="inlineStr">
        <is>
          <t>+10.9% so với 1H26 — vẫn phản ánh tính mùa vụ dồn về cuối năm, không phải cắt giảm chi phí</t>
        </is>
      </c>
    </row>
    <row r="138">
      <c r="A138" t="inlineStr">
        <is>
          <t>R8</t>
        </is>
      </c>
      <c r="B138" t="inlineStr">
        <is>
          <t>LNTT / LNST FY26F</t>
        </is>
      </c>
      <c r="C138" t="inlineStr">
        <is>
          <t>8716 / 6786</t>
        </is>
      </c>
      <c r="D138" t="inlineStr">
        <is>
          <t>VNDbn</t>
        </is>
      </c>
      <c r="E138" t="inlineStr">
        <is>
          <t>DERIVED</t>
        </is>
      </c>
      <c r="F138" t="inlineStr">
        <is>
          <t>TOI 32,956 - opex 13149 - dự phòng 11091</t>
        </is>
      </c>
      <c r="G138" t="inlineStr">
        <is>
          <t>+14.3% CK. Hàm ý LNTT 2H26 4,580 tỷ = 15x nền 2H25 (297 tỷ) và +10.7% so với 1H26</t>
        </is>
      </c>
    </row>
    <row r="139">
      <c r="A139" t="inlineStr">
        <is>
          <t>R9</t>
        </is>
      </c>
      <c r="B139" t="inlineStr">
        <is>
          <t>Dự phòng P&amp;L FY26F</t>
        </is>
      </c>
      <c r="C139" t="inlineStr">
        <is>
          <t>11091</t>
        </is>
      </c>
      <c r="D139" t="inlineStr">
        <is>
          <t>VNDbn</t>
        </is>
      </c>
      <c r="E139" t="inlineStr">
        <is>
          <t>DERIVED</t>
        </is>
      </c>
      <c r="F139" t="inlineStr">
        <is>
          <t>chung 687 + cụ thể 10,027 + VAMC 377</t>
        </is>
      </c>
      <c r="G139" t="inlineStr">
        <is>
          <t>-2.6% CK so với 11,384 của FY25; gần như không đổi so với 10,889 của bản trước</t>
        </is>
      </c>
    </row>
    <row r="140">
      <c r="A140" t="inlineStr">
        <is>
          <t>C1</t>
        </is>
      </c>
      <c r="B140" t="inlineStr">
        <is>
          <t>Model!X284 dự phòng cụ thể đầu kỳ</t>
        </is>
      </c>
      <c r="C140" t="inlineStr">
        <is>
          <t>4,891 -&gt; 16,078</t>
        </is>
      </c>
      <c r="D140" t="inlineStr">
        <is>
          <t>VNDbn</t>
        </is>
      </c>
      <c r="E140" t="inlineStr">
        <is>
          <t>CONFLICT</t>
        </is>
      </c>
      <c r="F140" t="inlineStr">
        <is>
          <t>Model!X264 (BCĐKT FY25) = 20,056 nhưng bảng chuyển động X274+X284 chỉ 8,869</t>
        </is>
      </c>
      <c r="G140" t="inlineStr">
        <is>
          <t>Lỗi có sẵn trong model: mọi tỷ lệ bao phủ dự phóng trước đây đều vô nghĩa. Đã sửa để X274+X284 = 20,056</t>
        </is>
      </c>
    </row>
    <row r="141">
      <c r="A141" t="inlineStr">
        <is>
          <t>G14</t>
        </is>
      </c>
      <c r="B141" t="inlineStr">
        <is>
          <t>Cân đối kế toán lệch sau khi sửa X284</t>
        </is>
      </c>
      <c r="C141" t="inlineStr">
        <is>
          <t>-6,755</t>
        </is>
      </c>
      <c r="D141" t="inlineStr">
        <is>
          <t>VNDbn</t>
        </is>
      </c>
      <c r="E141" t="inlineStr">
        <is>
          <t>GAP</t>
        </is>
      </c>
      <c r="F141" t="inlineStr">
        <is>
          <t>Model!Y103 = Y61 - Y102; dự phòng tăng làm cho vay thuần giảm 6,146, VCSH tăng 609</t>
        </is>
      </c>
      <c r="G141" t="inlineStr">
        <is>
          <t>CHƯA XỬ LÝ — cần chốt khoản mục bù (huy động hoặc tiền gửi liên ngân hàng) trước khi phát hành. Tổng tài sản trên slide = số đã công bố trừ 6,146</t>
        </is>
      </c>
    </row>
    <row r="142">
      <c r="A142" t="inlineStr">
        <is>
          <t>G15</t>
        </is>
      </c>
      <c r="B142" t="inlineStr">
        <is>
          <t>Giá mục tiêu vs sheet Valuation</t>
        </is>
      </c>
      <c r="C142" t="inlineStr">
        <is>
          <t>77,800 vs 61,400</t>
        </is>
      </c>
      <c r="D142" t="inlineStr">
        <is>
          <t>VND</t>
        </is>
      </c>
      <c r="E142" t="inlineStr">
        <is>
          <t>CONFLICT</t>
        </is>
      </c>
      <c r="F142" t="inlineStr">
        <is>
          <t>Valuation!B1 = J16 = P/B hợp lý FY27F x BPS FY27F</t>
        </is>
      </c>
      <c r="G142" t="inlineStr">
        <is>
          <t>Sheet Valuation cho 56,100 trước điều chỉnh và ~61,400 sau (ROE bền vững FY27F lên 14.8%, BPS 37,570). Slide vẫn để 77,800 — CHƯA ĐỊNH GIÁ LẠI, cần CV quyết</t>
        </is>
      </c>
    </row>
    <row r="143">
      <c r="A143" t="inlineStr">
        <is>
          <t>G16</t>
        </is>
      </c>
      <c r="B143" t="inlineStr">
        <is>
          <t>Giá mục tiêu ghi 77,500 trong file stock pick</t>
        </is>
      </c>
      <c r="C143" t="inlineStr">
        <is>
          <t>77,500 vs 77,800</t>
        </is>
      </c>
      <c r="D143" t="inlineStr">
        <is>
          <t>VND</t>
        </is>
      </c>
      <c r="E143" t="inlineStr">
        <is>
          <t>CONFLICT</t>
        </is>
      </c>
      <c r="F143" t="inlineStr">
        <is>
          <t>Stock Pick!D6 và Target Price!C13 ghi 77,500; cột J6/L6 lại tính trên 77,800</t>
        </is>
      </c>
      <c r="G143" t="inlineStr">
        <is>
          <t>CHƯA SỬA — chênh 0.4%, cần CV xác nhận số nào đúng</t>
        </is>
      </c>
    </row>
    <row r="144">
      <c r="A144" t="inlineStr">
        <is>
          <t>G17</t>
        </is>
      </c>
      <c r="B144" t="inlineStr">
        <is>
          <t>Tăng trưởng tín dụng FY26F 11.7% vs 1.5% thực hiện 1H26</t>
        </is>
      </c>
      <c r="E144" t="inlineStr">
        <is>
          <t>GAP</t>
        </is>
      </c>
      <c r="F144" t="inlineStr">
        <is>
          <t>Model!Y206 = 10.1%; slide ghi 11.7%</t>
        </is>
      </c>
      <c r="G144" t="inlineStr">
        <is>
          <t>CHƯA XỬ LÝ — hạ giả định này sẽ kéo NII, TOI và cả mẫu số của NPL/CIR</t>
        </is>
      </c>
    </row>
    <row r="145">
      <c r="A145" t="inlineStr">
        <is>
          <t>G18</t>
        </is>
      </c>
      <c r="B145" t="inlineStr">
        <is>
          <t>Model chưa mở lại bằng Excel</t>
        </is>
      </c>
      <c r="E145" t="inlineStr">
        <is>
          <t>GAP</t>
        </is>
      </c>
      <c r="F145" t="inlineStr">
        <is>
          <t>fullCalcOnLoad=1 đã bật</t>
        </is>
      </c>
      <c r="G145" t="inlineStr">
        <is>
          <t>Toàn bộ số ở trên tính lại bằng Python theo đúng chuỗi công thức của model (fix_stb_model.cascade); cần mở Excel đối chiếu trước khi phát hành</t>
        </is>
      </c>
    </row>
    <row r="147">
      <c r="B147" s="13" t="inlineStr">
        <is>
          <t>STB — REVISION 04/08/2026: giữ bao phủ 50% -&gt; NPL 5.5%; CIR 40/38/36% FY26-28F</t>
        </is>
      </c>
    </row>
    <row r="148">
      <c r="A148" t="inlineStr">
        <is>
          <t>R1</t>
        </is>
      </c>
      <c r="B148" t="inlineStr">
        <is>
          <t>Dự phòng đã trích cuối Q2/2026</t>
        </is>
      </c>
      <c r="C148" t="inlineStr">
        <is>
          <t>27,177</t>
        </is>
      </c>
      <c r="D148" t="inlineStr">
        <is>
          <t>VNDbn</t>
        </is>
      </c>
      <c r="E148" t="inlineStr">
        <is>
          <t>MODEL</t>
        </is>
      </c>
      <c r="F148" t="inlineStr">
        <is>
          <t>FinModel_STB_2Q26 Model!CA cột quý 2Q26; FY25 20,056 + 7,119 trích 1H26</t>
        </is>
      </c>
      <c r="G148" t="inlineStr">
        <is>
          <t>Bao phủ 56.7% (27,177/47,957), tăng từ 50.0% cuối 2025 — gần như chưa xóa nợ trong 1H26</t>
        </is>
      </c>
    </row>
    <row r="149">
      <c r="A149" t="inlineStr">
        <is>
          <t>R2</t>
        </is>
      </c>
      <c r="B149" t="inlineStr">
        <is>
          <t>Xóa nợ FY26F</t>
        </is>
      </c>
      <c r="C149" t="inlineStr">
        <is>
          <t>11796</t>
        </is>
      </c>
      <c r="D149" t="inlineStr">
        <is>
          <t>VNDbn</t>
        </is>
      </c>
      <c r="E149" t="inlineStr">
        <is>
          <t>DERIVED</t>
        </is>
      </c>
      <c r="F149" t="inlineStr">
        <is>
          <t>Model!Y287 = -1.71% x dư nợ 689,832 (trước: -0.95%)</t>
        </is>
      </c>
      <c r="G149" t="inlineStr">
        <is>
          <t>Nghiệm của bài toán giữ bao phủ 50%; tương đương 37% dư nợ nhóm 5 (~32,000)</t>
        </is>
      </c>
    </row>
    <row r="150">
      <c r="A150" t="inlineStr">
        <is>
          <t>R3</t>
        </is>
      </c>
      <c r="B150" t="inlineStr">
        <is>
          <t>Tỷ lệ trích/xóa FY26F</t>
        </is>
      </c>
      <c r="C150" t="inlineStr">
        <is>
          <t>0.85x</t>
        </is>
      </c>
      <c r="D150" t="inlineStr">
        <is>
          <t>x</t>
        </is>
      </c>
      <c r="E150" t="inlineStr">
        <is>
          <t>MAS</t>
        </is>
      </c>
      <c r="F150" t="inlineStr">
        <is>
          <t>Model!Y278 = -Y279*0.85 (trước: *1.5)</t>
        </is>
      </c>
      <c r="G150" t="inlineStr">
        <is>
          <t>Xử lý nợ tài trợ từ nguồn dự phòng đã trích, không từ P&amp;L. Giữ 1.5x trên mức xóa nợ này là nguyên nhân làm LNTT sụt 64% mà CV đã bác</t>
        </is>
      </c>
    </row>
    <row r="151">
      <c r="A151" t="inlineStr">
        <is>
          <t>R4</t>
        </is>
      </c>
      <c r="B151" t="inlineStr">
        <is>
          <t>Dự phòng đã trích cuối FY26F / bao phủ</t>
        </is>
      </c>
      <c r="C151" t="inlineStr">
        <is>
          <t>18973 / 50.0%</t>
        </is>
      </c>
      <c r="D151" t="inlineStr">
        <is>
          <t>VNDbn / %</t>
        </is>
      </c>
      <c r="E151" t="inlineStr">
        <is>
          <t>DERIVED</t>
        </is>
      </c>
      <c r="F151" t="inlineStr">
        <is>
          <t>gen 4,665 + spec 14,309; NPL 5.5% x 689,832 = 37,941</t>
        </is>
      </c>
      <c r="G151" t="inlineStr">
        <is>
          <t>Đúng mục tiêu "giữ bao phủ 50%" của CV</t>
        </is>
      </c>
    </row>
    <row r="152">
      <c r="A152" t="inlineStr">
        <is>
          <t>R5</t>
        </is>
      </c>
      <c r="B152" t="inlineStr">
        <is>
          <t>NPL FY26F / FY27F / FY28F</t>
        </is>
      </c>
      <c r="C152" t="inlineStr">
        <is>
          <t>5.5 / 4.0 / 2.7</t>
        </is>
      </c>
      <c r="D152" t="inlineStr">
        <is>
          <t>%</t>
        </is>
      </c>
      <c r="E152" t="inlineStr">
        <is>
          <t>MAS</t>
        </is>
      </c>
      <c r="F152" t="inlineStr">
        <is>
          <t>NPL!N26=0.933 N27=0.012 N28=0.009 N29=0.012 N30=0.034 (tổng 1.000)</t>
        </is>
      </c>
      <c r="G152" t="inlineStr">
        <is>
          <t>Hàm ý nợ xấu phát sinh mới 2H26 = 1,780 tỷ, bằng 23% nhịp 1H26 (7,800) — khớp giả định "chậm lại còn 20% nhịp 1H" CV đưa ra trước đó</t>
        </is>
      </c>
    </row>
    <row r="153">
      <c r="A153" t="inlineStr">
        <is>
          <t>R6</t>
        </is>
      </c>
      <c r="B153" t="inlineStr">
        <is>
          <t>CIR FY26F / FY27F / FY28F</t>
        </is>
      </c>
      <c r="C153" t="inlineStr">
        <is>
          <t>40.0 / 38.0 / 36.0</t>
        </is>
      </c>
      <c r="D153" t="inlineStr">
        <is>
          <t>%</t>
        </is>
      </c>
      <c r="E153" t="inlineStr">
        <is>
          <t>MAS</t>
        </is>
      </c>
      <c r="F153" t="inlineStr">
        <is>
          <t>Model!Y132=X132*1 và Y134=X134*1 (lương và chi phí khác đi ngang so với FY25); Z132/Z134 = *1.015; AA132/AA134 = *1.106. Khấu hao Y133/Z133/AA133 giữ nguyên build cũ</t>
        </is>
      </c>
      <c r="G153" t="inlineStr">
        <is>
          <t>CIR 1H26 thực tế 35.6% (opex 6,233 / TOI 17,488). Build cũ cho 42.9/42.6/40.5%, tức opex 2H26 phải tăng 26.7% so với 1H26 — không có cơ sở. Hệ số nhân là nghiệm của mục tiêu CIR CV đặt ra, áp chung cho cả dòng lương và chi phí khác</t>
        </is>
      </c>
    </row>
    <row r="154">
      <c r="A154" t="inlineStr">
        <is>
          <t>R6b</t>
        </is>
      </c>
      <c r="B154" t="inlineStr">
        <is>
          <t>Ràng buộc của mục tiêu CIR 38% năm FY27F</t>
        </is>
      </c>
      <c r="C154" t="inlineStr">
        <is>
          <t>+1.5%</t>
        </is>
      </c>
      <c r="D154" t="inlineStr">
        <is>
          <t>% tăng opex</t>
        </is>
      </c>
      <c r="E154" t="inlineStr">
        <is>
          <t>GAP</t>
        </is>
      </c>
      <c r="F154" t="inlineStr">
        <is>
          <t>TOI FY27F +11.1% nhưng khấu hao Z133 = Y133*1.2 (+20%) theo build gốc</t>
        </is>
      </c>
      <c r="G154" t="inlineStr">
        <is>
          <t>Khấu hao nhảy 20% chiếm hết dư địa, nên lương + chi phí khác chỉ được tăng 1.5% để về 38%. Nếu hệ số khấu hao 1.2x không có cơ sở (đây là input của bản gốc, tôi không sửa), hạ về 1.1x sẽ cho lương + chi phí khác tăng 4.3% — hợp lý hơn. CẦN CV XÁC NHẬN</t>
        </is>
      </c>
    </row>
    <row r="155">
      <c r="A155" t="inlineStr">
        <is>
          <t>R7</t>
        </is>
      </c>
      <c r="B155" t="inlineStr">
        <is>
          <t>Opex 2H26 hàm ý</t>
        </is>
      </c>
      <c r="C155" t="inlineStr">
        <is>
          <t>6949</t>
        </is>
      </c>
      <c r="D155" t="inlineStr">
        <is>
          <t>VNDbn</t>
        </is>
      </c>
      <c r="E155" t="inlineStr">
        <is>
          <t>DERIVED</t>
        </is>
      </c>
      <c r="F155" t="inlineStr">
        <is>
          <t>FY26F 13182 - 1H26 thực tế 6,233</t>
        </is>
      </c>
      <c r="G155" t="inlineStr">
        <is>
          <t>+11.5% so với 1H26 — vẫn phản ánh tính mùa vụ dồn về cuối năm, không phải cắt giảm chi phí</t>
        </is>
      </c>
    </row>
    <row r="156">
      <c r="A156" t="inlineStr">
        <is>
          <t>R8</t>
        </is>
      </c>
      <c r="B156" t="inlineStr">
        <is>
          <t>LNTT / LNST FY26F</t>
        </is>
      </c>
      <c r="C156" t="inlineStr">
        <is>
          <t>8683 / 6761</t>
        </is>
      </c>
      <c r="D156" t="inlineStr">
        <is>
          <t>VNDbn</t>
        </is>
      </c>
      <c r="E156" t="inlineStr">
        <is>
          <t>DERIVED</t>
        </is>
      </c>
      <c r="F156" t="inlineStr">
        <is>
          <t>TOI 32,956 - opex 13182 - dự phòng 11091</t>
        </is>
      </c>
      <c r="G156" t="inlineStr">
        <is>
          <t>+13.8% CK. Hàm ý LNTT 2H26 4547 tỷ = 15x nền 2H25 (297 tỷ) và +9.9% so với 1H26</t>
        </is>
      </c>
    </row>
    <row r="157">
      <c r="A157" t="inlineStr">
        <is>
          <t>R9</t>
        </is>
      </c>
      <c r="B157" t="inlineStr">
        <is>
          <t>Dự phòng P&amp;L FY26F</t>
        </is>
      </c>
      <c r="C157" t="inlineStr">
        <is>
          <t>11091</t>
        </is>
      </c>
      <c r="D157" t="inlineStr">
        <is>
          <t>VNDbn</t>
        </is>
      </c>
      <c r="E157" t="inlineStr">
        <is>
          <t>DERIVED</t>
        </is>
      </c>
      <c r="F157" t="inlineStr">
        <is>
          <t>chung 687 + cụ thể 10,027 + VAMC 377</t>
        </is>
      </c>
      <c r="G157" t="inlineStr">
        <is>
          <t>-2.6% CK so với 11,384 của FY25; gần như không đổi so với 10,889 của bản trước</t>
        </is>
      </c>
    </row>
    <row r="158">
      <c r="A158" t="inlineStr">
        <is>
          <t>C1</t>
        </is>
      </c>
      <c r="B158" t="inlineStr">
        <is>
          <t>Model!X284 dự phòng cụ thể đầu kỳ</t>
        </is>
      </c>
      <c r="C158" t="inlineStr">
        <is>
          <t>4,891 -&gt; 16,078</t>
        </is>
      </c>
      <c r="D158" t="inlineStr">
        <is>
          <t>VNDbn</t>
        </is>
      </c>
      <c r="E158" t="inlineStr">
        <is>
          <t>CONFLICT</t>
        </is>
      </c>
      <c r="F158" t="inlineStr">
        <is>
          <t>Model!X264 (BCĐKT FY25) = 20,056 nhưng bảng chuyển động X274+X284 chỉ 8,869</t>
        </is>
      </c>
      <c r="G158" t="inlineStr">
        <is>
          <t>Lỗi có sẵn trong model: mọi tỷ lệ bao phủ dự phóng trước đây đều vô nghĩa. Đã sửa để X274+X284 = 20,056</t>
        </is>
      </c>
    </row>
    <row r="159">
      <c r="A159" t="inlineStr">
        <is>
          <t>G14</t>
        </is>
      </c>
      <c r="B159" t="inlineStr">
        <is>
          <t>Cân đối kế toán lệch sau khi sửa X284</t>
        </is>
      </c>
      <c r="C159" t="inlineStr">
        <is>
          <t>-6,755</t>
        </is>
      </c>
      <c r="D159" t="inlineStr">
        <is>
          <t>VNDbn</t>
        </is>
      </c>
      <c r="E159" t="inlineStr">
        <is>
          <t>GAP</t>
        </is>
      </c>
      <c r="F159" t="inlineStr">
        <is>
          <t>Model!Y103 = Y61 - Y102; dự phòng tăng làm cho vay thuần giảm 6,146, VCSH tăng 609</t>
        </is>
      </c>
      <c r="G159" t="inlineStr">
        <is>
          <t>CHƯA XỬ LÝ — cần chốt khoản mục bù (huy động hoặc tiền gửi liên ngân hàng) trước khi phát hành. Tổng tài sản trên slide = số đã công bố trừ 6,146</t>
        </is>
      </c>
    </row>
    <row r="160">
      <c r="A160" t="inlineStr">
        <is>
          <t>G15</t>
        </is>
      </c>
      <c r="B160" t="inlineStr">
        <is>
          <t>Giá mục tiêu vs sheet Valuation</t>
        </is>
      </c>
      <c r="C160" t="inlineStr">
        <is>
          <t>77,800 vs 65,600</t>
        </is>
      </c>
      <c r="D160" t="inlineStr">
        <is>
          <t>VND</t>
        </is>
      </c>
      <c r="E160" t="inlineStr">
        <is>
          <t>CONFLICT</t>
        </is>
      </c>
      <c r="F160" t="inlineStr">
        <is>
          <t>Valuation!B1 = J16 = P/B hợp lý FY27F x BPS FY27F</t>
        </is>
      </c>
      <c r="G160" t="inlineStr">
        <is>
          <t>Sheet Valuation cho 56,100 trước điều chỉnh và ~65,600 sau (ROE bền vững FY27F lên 15.5%, BPS 37,822). Slide vẫn để 77,800 — CHƯA ĐỊNH GIÁ LẠI, cần CV quyết</t>
        </is>
      </c>
    </row>
    <row r="161">
      <c r="A161" t="inlineStr">
        <is>
          <t>G16</t>
        </is>
      </c>
      <c r="B161" t="inlineStr">
        <is>
          <t>Giá mục tiêu ghi 77,500 trong file stock pick</t>
        </is>
      </c>
      <c r="C161" t="inlineStr">
        <is>
          <t>77,500 vs 77,800</t>
        </is>
      </c>
      <c r="D161" t="inlineStr">
        <is>
          <t>VND</t>
        </is>
      </c>
      <c r="E161" t="inlineStr">
        <is>
          <t>CONFLICT</t>
        </is>
      </c>
      <c r="F161" t="inlineStr">
        <is>
          <t>Stock Pick!D6 và Target Price!C13 ghi 77,500; cột J6/L6 lại tính trên 77,800</t>
        </is>
      </c>
      <c r="G161" t="inlineStr">
        <is>
          <t>CHƯA SỬA — chênh 0.4%, cần CV xác nhận số nào đúng</t>
        </is>
      </c>
    </row>
    <row r="162">
      <c r="A162" t="inlineStr">
        <is>
          <t>G17</t>
        </is>
      </c>
      <c r="B162" t="inlineStr">
        <is>
          <t>Tăng trưởng tín dụng FY26F 11.7% vs 1.5% thực hiện 1H26</t>
        </is>
      </c>
      <c r="E162" t="inlineStr">
        <is>
          <t>GAP</t>
        </is>
      </c>
      <c r="F162" t="inlineStr">
        <is>
          <t>Model!Y206 = 10.1%; slide ghi 11.7%</t>
        </is>
      </c>
      <c r="G162" t="inlineStr">
        <is>
          <t>CHƯA XỬ LÝ — hạ giả định này sẽ kéo NII, TOI và cả mẫu số của NPL/CIR</t>
        </is>
      </c>
    </row>
    <row r="163">
      <c r="A163" t="inlineStr">
        <is>
          <t>G18</t>
        </is>
      </c>
      <c r="B163" t="inlineStr">
        <is>
          <t>Model chưa mở lại bằng Excel</t>
        </is>
      </c>
      <c r="E163" t="inlineStr">
        <is>
          <t>GAP</t>
        </is>
      </c>
      <c r="F163" t="inlineStr">
        <is>
          <t>fullCalcOnLoad=1 đã bật</t>
        </is>
      </c>
      <c r="G163" t="inlineStr">
        <is>
          <t>Toàn bộ số ở trên tính lại bằng Python theo đúng chuỗi công thức của model (fix_stb_model.cascade); cần mở Excel đối chiếu trước khi phát hành</t>
        </is>
      </c>
    </row>
    <row r="165">
      <c r="B165" s="13" t="inlineStr">
        <is>
          <t>STB — REVISION 04/08/2026: giữ bao phủ 50% -&gt; NPL 5.5%; CIR 40/38/36% FY26-28F</t>
        </is>
      </c>
    </row>
    <row r="166">
      <c r="A166" t="inlineStr">
        <is>
          <t>R1</t>
        </is>
      </c>
      <c r="B166" t="inlineStr">
        <is>
          <t>Dự phòng đã trích cuối Q2/2026</t>
        </is>
      </c>
      <c r="C166" t="inlineStr">
        <is>
          <t>27,177</t>
        </is>
      </c>
      <c r="D166" t="inlineStr">
        <is>
          <t>VNDbn</t>
        </is>
      </c>
      <c r="E166" t="inlineStr">
        <is>
          <t>MODEL</t>
        </is>
      </c>
      <c r="F166" t="inlineStr">
        <is>
          <t>FinModel_STB_2Q26 Model!CA cột quý 2Q26; FY25 20,056 + 7,119 trích 1H26</t>
        </is>
      </c>
      <c r="G166" t="inlineStr">
        <is>
          <t>Bao phủ 56.7% (27,177/47,957), tăng từ 50.0% cuối 2025 — gần như chưa xóa nợ trong 1H26</t>
        </is>
      </c>
    </row>
    <row r="167">
      <c r="A167" t="inlineStr">
        <is>
          <t>R2</t>
        </is>
      </c>
      <c r="B167" t="inlineStr">
        <is>
          <t>Xóa nợ FY26F</t>
        </is>
      </c>
      <c r="C167" t="inlineStr">
        <is>
          <t>11796</t>
        </is>
      </c>
      <c r="D167" t="inlineStr">
        <is>
          <t>VNDbn</t>
        </is>
      </c>
      <c r="E167" t="inlineStr">
        <is>
          <t>DERIVED</t>
        </is>
      </c>
      <c r="F167" t="inlineStr">
        <is>
          <t>Model!Y287 = -1.71% x dư nợ 689,832 (trước: -0.95%)</t>
        </is>
      </c>
      <c r="G167" t="inlineStr">
        <is>
          <t>Nghiệm của bài toán giữ bao phủ 50%; tương đương 37% dư nợ nhóm 5 (~32,000)</t>
        </is>
      </c>
    </row>
    <row r="168">
      <c r="A168" t="inlineStr">
        <is>
          <t>R3</t>
        </is>
      </c>
      <c r="B168" t="inlineStr">
        <is>
          <t>Tỷ lệ trích/xóa FY26F</t>
        </is>
      </c>
      <c r="C168" t="inlineStr">
        <is>
          <t>0.85x</t>
        </is>
      </c>
      <c r="D168" t="inlineStr">
        <is>
          <t>x</t>
        </is>
      </c>
      <c r="E168" t="inlineStr">
        <is>
          <t>MAS</t>
        </is>
      </c>
      <c r="F168" t="inlineStr">
        <is>
          <t>Model!Y278 = -Y279*0.85 (trước: *1.5)</t>
        </is>
      </c>
      <c r="G168" t="inlineStr">
        <is>
          <t>Xử lý nợ tài trợ từ nguồn dự phòng đã trích, không từ P&amp;L. Giữ 1.5x trên mức xóa nợ này là nguyên nhân làm LNTT sụt 64% mà CV đã bác</t>
        </is>
      </c>
    </row>
    <row r="169">
      <c r="A169" t="inlineStr">
        <is>
          <t>R4</t>
        </is>
      </c>
      <c r="B169" t="inlineStr">
        <is>
          <t>Dự phòng đã trích cuối FY26F / bao phủ</t>
        </is>
      </c>
      <c r="C169" t="inlineStr">
        <is>
          <t>18973 / 50.0%</t>
        </is>
      </c>
      <c r="D169" t="inlineStr">
        <is>
          <t>VNDbn / %</t>
        </is>
      </c>
      <c r="E169" t="inlineStr">
        <is>
          <t>DERIVED</t>
        </is>
      </c>
      <c r="F169" t="inlineStr">
        <is>
          <t>gen 4,665 + spec 14,309; NPL 5.5% x 689,832 = 37,941</t>
        </is>
      </c>
      <c r="G169" t="inlineStr">
        <is>
          <t>Đúng mục tiêu "giữ bao phủ 50%" của CV</t>
        </is>
      </c>
    </row>
    <row r="170">
      <c r="A170" t="inlineStr">
        <is>
          <t>R5</t>
        </is>
      </c>
      <c r="B170" t="inlineStr">
        <is>
          <t>NPL FY26F / FY27F / FY28F</t>
        </is>
      </c>
      <c r="C170" t="inlineStr">
        <is>
          <t>5.5 / 4.0 / 2.7</t>
        </is>
      </c>
      <c r="D170" t="inlineStr">
        <is>
          <t>%</t>
        </is>
      </c>
      <c r="E170" t="inlineStr">
        <is>
          <t>MAS</t>
        </is>
      </c>
      <c r="F170" t="inlineStr">
        <is>
          <t>NPL!N26=0.933 N27=0.012 N28=0.009 N29=0.012 N30=0.034 (tổng 1.000)</t>
        </is>
      </c>
      <c r="G170" t="inlineStr">
        <is>
          <t>Hàm ý nợ xấu phát sinh mới 2H26 = 1,780 tỷ, bằng 23% nhịp 1H26 (7,800) — khớp giả định "chậm lại còn 20% nhịp 1H" CV đưa ra trước đó</t>
        </is>
      </c>
    </row>
    <row r="171">
      <c r="A171" t="inlineStr">
        <is>
          <t>R6</t>
        </is>
      </c>
      <c r="B171" t="inlineStr">
        <is>
          <t>CIR FY26F / FY27F / FY28F</t>
        </is>
      </c>
      <c r="C171" t="inlineStr">
        <is>
          <t>40.0 / 38.0 / 36.0</t>
        </is>
      </c>
      <c r="D171" t="inlineStr">
        <is>
          <t>%</t>
        </is>
      </c>
      <c r="E171" t="inlineStr">
        <is>
          <t>MAS</t>
        </is>
      </c>
      <c r="F171" t="inlineStr">
        <is>
          <t>Model!Y132=X132*1 và Y134=X134*1 (lương và chi phí khác đi ngang so với FY25); Z132/Z134 = *1.015; AA132/AA134 = *1.106. Khấu hao Y133/Z133/AA133 giữ nguyên build cũ</t>
        </is>
      </c>
      <c r="G171" t="inlineStr">
        <is>
          <t>CIR 1H26 thực tế 35.6% (opex 6,233 / TOI 17,488). Build cũ cho 42.9/42.6/40.5%, tức opex 2H26 phải tăng 26.7% so với 1H26 — không có cơ sở. Hệ số nhân là nghiệm của mục tiêu CIR CV đặt ra, áp chung cho cả dòng lương và chi phí khác</t>
        </is>
      </c>
    </row>
    <row r="172">
      <c r="A172" t="inlineStr">
        <is>
          <t>R6b</t>
        </is>
      </c>
      <c r="B172" t="inlineStr">
        <is>
          <t>Ràng buộc của mục tiêu CIR 38% năm FY27F</t>
        </is>
      </c>
      <c r="C172" t="inlineStr">
        <is>
          <t>+1.5%</t>
        </is>
      </c>
      <c r="D172" t="inlineStr">
        <is>
          <t>% tăng opex</t>
        </is>
      </c>
      <c r="E172" t="inlineStr">
        <is>
          <t>GAP</t>
        </is>
      </c>
      <c r="F172" t="inlineStr">
        <is>
          <t>TOI FY27F +11.1% nhưng khấu hao Z133 = Y133*1.2 (+20%) theo build gốc</t>
        </is>
      </c>
      <c r="G172" t="inlineStr">
        <is>
          <t>Khấu hao nhảy 20% chiếm hết dư địa, nên lương + chi phí khác chỉ được tăng 1.5% để về 38%. Nếu hệ số khấu hao 1.2x không có cơ sở (đây là input của bản gốc, tôi không sửa), hạ về 1.1x sẽ cho lương + chi phí khác tăng 4.3% — hợp lý hơn. CẦN CV XÁC NHẬN</t>
        </is>
      </c>
    </row>
    <row r="173">
      <c r="A173" t="inlineStr">
        <is>
          <t>R7</t>
        </is>
      </c>
      <c r="B173" t="inlineStr">
        <is>
          <t>Opex 2H26 hàm ý</t>
        </is>
      </c>
      <c r="C173" t="inlineStr">
        <is>
          <t>6831</t>
        </is>
      </c>
      <c r="D173" t="inlineStr">
        <is>
          <t>VNDbn</t>
        </is>
      </c>
      <c r="E173" t="inlineStr">
        <is>
          <t>DERIVED</t>
        </is>
      </c>
      <c r="F173" t="inlineStr">
        <is>
          <t>FY26F 13065 - 1H26 thực tế 6,233</t>
        </is>
      </c>
      <c r="G173" t="inlineStr">
        <is>
          <t>+9.6% so với 1H26 — vẫn phản ánh tính mùa vụ dồn về cuối năm, không phải cắt giảm chi phí</t>
        </is>
      </c>
    </row>
    <row r="174">
      <c r="A174" t="inlineStr">
        <is>
          <t>R8</t>
        </is>
      </c>
      <c r="B174" t="inlineStr">
        <is>
          <t>LNTT / LNST FY26F</t>
        </is>
      </c>
      <c r="C174" t="inlineStr">
        <is>
          <t>8507 / 6623</t>
        </is>
      </c>
      <c r="D174" t="inlineStr">
        <is>
          <t>VNDbn</t>
        </is>
      </c>
      <c r="E174" t="inlineStr">
        <is>
          <t>DERIVED</t>
        </is>
      </c>
      <c r="F174" t="inlineStr">
        <is>
          <t>TOI 32,956 - opex 13065 - dự phòng 11091</t>
        </is>
      </c>
      <c r="G174" t="inlineStr">
        <is>
          <t>+11.5% CK. Hàm ý LNTT 2H26 4371 tỷ = 15x nền 2H25 (297 tỷ) và +5.7% so với 1H26</t>
        </is>
      </c>
    </row>
    <row r="175">
      <c r="A175" t="inlineStr">
        <is>
          <t>R9</t>
        </is>
      </c>
      <c r="B175" t="inlineStr">
        <is>
          <t>Dự phòng P&amp;L FY26F</t>
        </is>
      </c>
      <c r="C175" t="inlineStr">
        <is>
          <t>11091</t>
        </is>
      </c>
      <c r="D175" t="inlineStr">
        <is>
          <t>VNDbn</t>
        </is>
      </c>
      <c r="E175" t="inlineStr">
        <is>
          <t>DERIVED</t>
        </is>
      </c>
      <c r="F175" t="inlineStr">
        <is>
          <t>chung 687 + cụ thể 10,027 + VAMC 377</t>
        </is>
      </c>
      <c r="G175" t="inlineStr">
        <is>
          <t>-2.6% CK so với 11,384 của FY25; gần như không đổi so với 10,889 của bản trước</t>
        </is>
      </c>
    </row>
    <row r="176">
      <c r="A176" t="inlineStr">
        <is>
          <t>C1</t>
        </is>
      </c>
      <c r="B176" t="inlineStr">
        <is>
          <t>Model!X284 dự phòng cụ thể đầu kỳ</t>
        </is>
      </c>
      <c r="C176" t="inlineStr">
        <is>
          <t>4,891 -&gt; 16,078</t>
        </is>
      </c>
      <c r="D176" t="inlineStr">
        <is>
          <t>VNDbn</t>
        </is>
      </c>
      <c r="E176" t="inlineStr">
        <is>
          <t>CONFLICT</t>
        </is>
      </c>
      <c r="F176" t="inlineStr">
        <is>
          <t>Model!X264 (BCĐKT FY25) = 20,056 nhưng bảng chuyển động X274+X284 chỉ 8,869</t>
        </is>
      </c>
      <c r="G176" t="inlineStr">
        <is>
          <t>Lỗi có sẵn trong model: mọi tỷ lệ bao phủ dự phóng trước đây đều vô nghĩa. Đã sửa để X274+X284 = 20,056</t>
        </is>
      </c>
    </row>
    <row r="177">
      <c r="A177" t="inlineStr">
        <is>
          <t>G14</t>
        </is>
      </c>
      <c r="B177" t="inlineStr">
        <is>
          <t>Cân đối kế toán sau khi sửa X284</t>
        </is>
      </c>
      <c r="C177" t="inlineStr">
        <is>
          <t>0</t>
        </is>
      </c>
      <c r="D177" t="inlineStr">
        <is>
          <t>VNDbn</t>
        </is>
      </c>
      <c r="E177" t="inlineStr">
        <is>
          <t>MODEL</t>
        </is>
      </c>
      <c r="F177" t="inlineStr">
        <is>
          <t>Model!Y103 = 0 sau khi CV mở lại bằng Excel (bản 2b63c432)</t>
        </is>
      </c>
      <c r="G177" t="inlineStr">
        <is>
          <t>ĐÃ ĐÓNG — cảnh báo lệch -6,755 tỷ của tôi là SAI. Model tự cân đối; tổng tài sản Y61 = 1,014,277 (không phải 1,007,118 tôi ước tính)</t>
        </is>
      </c>
    </row>
    <row r="178">
      <c r="A178" t="inlineStr">
        <is>
          <t>R10</t>
        </is>
      </c>
      <c r="B178" t="inlineStr">
        <is>
          <t>Đối chiếu sau khi Excel tính lại</t>
        </is>
      </c>
      <c r="C178" t="inlineStr">
        <is>
          <t>khớp</t>
        </is>
      </c>
      <c r="E178" t="inlineStr">
        <is>
          <t>MODEL</t>
        </is>
      </c>
      <c r="F178" t="inlineStr">
        <is>
          <t>bản 2b63c432 do CV mở lại bằng Excel</t>
        </is>
      </c>
      <c r="G178" t="inlineStr">
        <is>
          <t>Opex Y135 13,182/13,913/15,367 khớp tuyệt đối; dự phòng Y254 11,091 khớp; dự phòng đã trích Y286 18,973 và bao phủ 50.0% khớp tuyệt đối</t>
        </is>
      </c>
    </row>
    <row r="179">
      <c r="A179" t="inlineStr">
        <is>
          <t>C2</t>
        </is>
      </c>
      <c r="B179" t="inlineStr">
        <is>
          <t>TOI dịch chuyển khi Excel tính lại</t>
        </is>
      </c>
      <c r="C179" t="inlineStr">
        <is>
          <t>32,662 vs 32,956</t>
        </is>
      </c>
      <c r="D179" t="inlineStr">
        <is>
          <t>VNDbn</t>
        </is>
      </c>
      <c r="E179" t="inlineStr">
        <is>
          <t>CONFLICT</t>
        </is>
      </c>
      <c r="F179" t="inlineStr">
        <is>
          <t>Model!Y117 = NII + phí + thu nhập khác</t>
        </is>
      </c>
      <c r="G179" t="inlineStr">
        <is>
          <t>Dự phòng đã trích lớn hơn làm cho vay thuần giảm -&gt; thu nhập lãi giảm. NII FY26F về 26,712 (+0.1% CK) từ 27,010. Hệ quả CIR trôi lên 40.36/37.66/36.48%, đã giải lại hệ số nhân opex về 0.9886/1.039/1.0739 để đúng 40/38/36%</t>
        </is>
      </c>
    </row>
    <row r="180">
      <c r="A180" t="inlineStr">
        <is>
          <t>N1</t>
        </is>
      </c>
      <c r="B180" t="inlineStr">
        <is>
          <t>NPL!DG6:DG11 cột 2Q26</t>
        </is>
      </c>
      <c r="C180" t="inlineStr">
        <is>
          <t>BY -&gt; BX</t>
        </is>
      </c>
      <c r="E180" t="inlineStr">
        <is>
          <t>MAS</t>
        </is>
      </c>
      <c r="F180" t="inlineStr">
        <is>
          <t>trỏ sang 'Notes(Quarter)'!BX81:BX86 (cột chèn thêm đẩy dữ liệu sang BX, BW là cột nhãn)</t>
        </is>
      </c>
      <c r="G180" t="inlineStr">
        <is>
          <t>Tổng 636,029; nhóm 1-5: 571,245 / 16,827 / 7,200 / 8,483 / 32,274. NPL 47,957 = 7.540% — khớp tuyệt đối con số trên slide</t>
        </is>
      </c>
    </row>
    <row r="181">
      <c r="A181" t="inlineStr">
        <is>
          <t>G19</t>
        </is>
      </c>
      <c r="B181" t="inlineStr">
        <is>
          <t>NPL hàng 19-21 lệch một dòng ở khối theo quý</t>
        </is>
      </c>
      <c r="E181" t="inlineStr">
        <is>
          <t>GAP</t>
        </is>
      </c>
      <c r="F181" t="inlineStr">
        <is>
          <t>DF19 = DF8/DF$22 (nợ nhóm 2 / nợ xấu) trong khi nhãn ghi "3) Substandard"</t>
        </is>
      </c>
      <c r="G181" t="inlineStr">
        <is>
          <t>CHƯA SỬA — lỗi có sẵn ở MỌI cột quý, không riêng 2Q26; hàng 19-21 cộng lại không bằng 100%. Không ảnh hưởng tỷ lệ NPL (hàng 23) vì hàng 22 = SUM(9:11) vẫn đúng. Sửa riêng cột DG sẽ phá nhóm shared formula</t>
        </is>
      </c>
    </row>
    <row r="182">
      <c r="A182" t="inlineStr">
        <is>
          <t>G15</t>
        </is>
      </c>
      <c r="B182" t="inlineStr">
        <is>
          <t>Giá mục tiêu vs sheet Valuation</t>
        </is>
      </c>
      <c r="C182" t="inlineStr">
        <is>
          <t>77,800 vs 65,600</t>
        </is>
      </c>
      <c r="D182" t="inlineStr">
        <is>
          <t>VND</t>
        </is>
      </c>
      <c r="E182" t="inlineStr">
        <is>
          <t>CONFLICT</t>
        </is>
      </c>
      <c r="F182" t="inlineStr">
        <is>
          <t>Valuation!B1 = J16 = P/B hợp lý FY27F x BPS FY27F</t>
        </is>
      </c>
      <c r="G182" t="inlineStr">
        <is>
          <t>Sheet Valuation cho 56,100 trước điều chỉnh và ~65,600 sau (ROE bền vững FY27F lên 15.5%, BPS 37,822). Slide vẫn để 77,800 — CHƯA ĐỊNH GIÁ LẠI, cần CV quyết</t>
        </is>
      </c>
    </row>
    <row r="183">
      <c r="A183" t="inlineStr">
        <is>
          <t>G16</t>
        </is>
      </c>
      <c r="B183" t="inlineStr">
        <is>
          <t>Giá mục tiêu ghi 77,500 trong file stock pick</t>
        </is>
      </c>
      <c r="C183" t="inlineStr">
        <is>
          <t>77,500 vs 77,800</t>
        </is>
      </c>
      <c r="D183" t="inlineStr">
        <is>
          <t>VND</t>
        </is>
      </c>
      <c r="E183" t="inlineStr">
        <is>
          <t>CONFLICT</t>
        </is>
      </c>
      <c r="F183" t="inlineStr">
        <is>
          <t>Stock Pick!D6 và Target Price!C13 ghi 77,500; cột J6/L6 lại tính trên 77,800</t>
        </is>
      </c>
      <c r="G183" t="inlineStr">
        <is>
          <t>CHƯA SỬA — chênh 0.4%, cần CV xác nhận số nào đúng</t>
        </is>
      </c>
    </row>
    <row r="184">
      <c r="A184" t="inlineStr">
        <is>
          <t>G17</t>
        </is>
      </c>
      <c r="B184" t="inlineStr">
        <is>
          <t>Tăng trưởng tín dụng FY26F 11.7% vs 1.5% thực hiện 1H26</t>
        </is>
      </c>
      <c r="E184" t="inlineStr">
        <is>
          <t>GAP</t>
        </is>
      </c>
      <c r="F184" t="inlineStr">
        <is>
          <t>Model!Y206 = 10.1%; slide ghi 11.7%</t>
        </is>
      </c>
      <c r="G184" t="inlineStr">
        <is>
          <t>CHƯA XỬ LÝ — hạ giả định này sẽ kéo NII, TOI và cả mẫu số của NPL/CIR</t>
        </is>
      </c>
    </row>
    <row r="185">
      <c r="A185" t="inlineStr">
        <is>
          <t>G18</t>
        </is>
      </c>
      <c r="B185" t="inlineStr">
        <is>
          <t>Model chưa mở lại bằng Excel</t>
        </is>
      </c>
      <c r="E185" t="inlineStr">
        <is>
          <t>GAP</t>
        </is>
      </c>
      <c r="F185" t="inlineStr">
        <is>
          <t>fullCalcOnLoad=1 đã bật</t>
        </is>
      </c>
      <c r="G185" t="inlineStr">
        <is>
          <t>Toàn bộ số ở trên tính lại bằng Python theo đúng chuỗi công thức của model (fix_stb_model.cascade); cần mở Excel đối chiếu trước khi phát hành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9"/>
  <sheetViews>
    <sheetView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26" customWidth="1" min="3" max="3"/>
    <col width="24" customWidth="1" min="4" max="4"/>
    <col width="22" customWidth="1" min="5" max="5"/>
  </cols>
  <sheetData>
    <row r="1">
      <c r="A1" t="inlineStr">
        <is>
          <t>FPT — ĐỐI CHIẾU CHÉO DỰ PHÓNG FY26F (4 hướng độc lập)</t>
        </is>
      </c>
      <c r="B1" s="5" t="n"/>
    </row>
    <row r="2">
      <c r="A2" t="inlineStr">
        <is>
          <t>Hướng dựng</t>
        </is>
      </c>
      <c r="B2" s="5" t="inlineStr">
        <is>
          <t>FY26F (tỷ đồng)</t>
        </is>
      </c>
      <c r="C2" t="inlineStr">
        <is>
          <t>Tăng trưởng</t>
        </is>
      </c>
      <c r="D2" t="inlineStr">
        <is>
          <t>Lệch so với số dùng</t>
        </is>
      </c>
    </row>
    <row r="3">
      <c r="A3" s="6" t="inlineStr">
        <is>
          <t>1. Mùa vụ trên LNST-CĐTS (1H26 5,055 ÷ 46.8%)</t>
        </is>
      </c>
      <c r="B3" s="6" t="inlineStr">
        <is>
          <t>10,808</t>
        </is>
      </c>
      <c r="C3" s="6" t="inlineStr">
        <is>
          <t>+14.2%</t>
        </is>
      </c>
      <c r="D3" s="6" t="inlineStr">
        <is>
          <t>-0.4%</t>
        </is>
      </c>
    </row>
    <row r="4">
      <c r="A4" s="6" t="inlineStr">
        <is>
          <t>2. Mùa vụ trên LNTT (5,714 ÷ 46.8% = 12,217) rồi quy về LNST-CĐTS</t>
        </is>
      </c>
      <c r="B4" s="6" t="inlineStr">
        <is>
          <t>10,809</t>
        </is>
      </c>
      <c r="C4" s="6" t="inlineStr">
        <is>
          <t>+14.2%</t>
        </is>
      </c>
      <c r="D4" s="6" t="inlineStr">
        <is>
          <t>-0.4%</t>
        </is>
      </c>
    </row>
    <row r="5">
      <c r="A5" s="6" t="inlineStr">
        <is>
          <t>3. Doanh thu từng mảng x biên LNTT thực tế 1H26</t>
        </is>
      </c>
      <c r="B5" s="6" t="inlineStr">
        <is>
          <t>10,875</t>
        </is>
      </c>
      <c r="C5" s="6" t="inlineStr">
        <is>
          <t>+14.9%</t>
        </is>
      </c>
      <c r="D5" s="6" t="inlineStr">
        <is>
          <t>+0.2%</t>
        </is>
      </c>
    </row>
    <row r="6">
      <c r="A6" s="6" t="inlineStr">
        <is>
          <t>4. Khối hoạt động của model + phần FOX (không tính LK khác)</t>
        </is>
      </c>
      <c r="B6" s="6" t="inlineStr">
        <is>
          <t>10,774</t>
        </is>
      </c>
      <c r="C6" s="6" t="inlineStr">
        <is>
          <t>+13.8%</t>
        </is>
      </c>
      <c r="D6" s="6" t="inlineStr">
        <is>
          <t>-0.7%</t>
        </is>
      </c>
    </row>
    <row r="7">
      <c r="A7" s="6" t="inlineStr">
        <is>
          <t>SỐ ĐANG DÙNG</t>
        </is>
      </c>
      <c r="B7" s="6" t="inlineStr">
        <is>
          <t>10,848</t>
        </is>
      </c>
      <c r="C7" s="6" t="inlineStr">
        <is>
          <t>+14.6%</t>
        </is>
      </c>
      <c r="D7" s="6" t="inlineStr">
        <is>
          <t>giữa dải</t>
        </is>
      </c>
    </row>
    <row r="8">
      <c r="A8" s="6" t="inlineStr">
        <is>
          <t>Biên độ 4 hướng</t>
        </is>
      </c>
      <c r="B8" s="6" t="inlineStr">
        <is>
          <t>10,774 - 10,875 (rộng 0.9%)</t>
        </is>
      </c>
      <c r="C8" s="6" t="n"/>
      <c r="D8" s="6" t="inlineStr">
        <is>
          <t>CHECK</t>
        </is>
      </c>
    </row>
    <row r="9">
      <c r="A9" s="6" t="inlineStr">
        <is>
          <t>Kiểm tra kế hoạch</t>
        </is>
      </c>
      <c r="B9" s="6" t="inlineStr">
        <is>
          <t>LNTT 1H26 = 49.1% KH năm (mùa vụ 46.8%) -&gt; vượt KH ~5.1%</t>
        </is>
      </c>
      <c r="C9" s="6" t="n"/>
      <c r="D9" s="6" t="inlineStr">
        <is>
          <t>CHECK</t>
        </is>
      </c>
    </row>
    <row r="10">
      <c r="A10" t="inlineStr">
        <is>
          <t>ĐỘ NHẠY — các biến 1H26 CHƯA chốt được</t>
        </is>
      </c>
      <c r="B10" s="5" t="n"/>
    </row>
    <row r="11">
      <c r="A11" t="inlineStr">
        <is>
          <t>Biến</t>
        </is>
      </c>
      <c r="B11" s="5" t="inlineStr">
        <is>
          <t>Tác động LNST-CĐTS</t>
        </is>
      </c>
      <c r="C11" t="inlineStr">
        <is>
          <t>FY26F</t>
        </is>
      </c>
      <c r="D11" t="inlineStr">
        <is>
          <t>Tăng trưởng</t>
        </is>
      </c>
    </row>
    <row r="12">
      <c r="A12" s="6" t="inlineStr">
        <is>
          <t>Giáo dục/khác đi ngang 2H thay vì +12.7%</t>
        </is>
      </c>
      <c r="B12" s="6" t="inlineStr">
        <is>
          <t>-181</t>
        </is>
      </c>
      <c r="C12" s="6" t="inlineStr">
        <is>
          <t>10,667</t>
        </is>
      </c>
      <c r="D12" s="6" t="inlineStr">
        <is>
          <t>+12.7%</t>
        </is>
      </c>
    </row>
    <row r="13">
      <c r="A13" s="6" t="inlineStr">
        <is>
          <t>Cty liên kết = run-rate FOX 1,714, không có LK khác</t>
        </is>
      </c>
      <c r="B13" s="6" t="inlineStr">
        <is>
          <t>-134</t>
        </is>
      </c>
      <c r="C13" s="6" t="inlineStr">
        <is>
          <t>10,714</t>
        </is>
      </c>
      <c r="D13" s="6" t="inlineStr">
        <is>
          <t>+13.2%</t>
        </is>
      </c>
    </row>
    <row r="14">
      <c r="A14" s="6" t="inlineStr">
        <is>
          <t>Thuế suất 13% thay vì 12% (ưu đãi hết hạn)</t>
        </is>
      </c>
      <c r="B14" s="6" t="inlineStr">
        <is>
          <t>-103</t>
        </is>
      </c>
      <c r="C14" s="6" t="inlineStr">
        <is>
          <t>10,745</t>
        </is>
      </c>
      <c r="D14" s="6" t="inlineStr">
        <is>
          <t>+13.5%</t>
        </is>
      </c>
    </row>
    <row r="15">
      <c r="A15" s="6" t="inlineStr">
        <is>
          <t>CNTT nước ngoài giữ +13.4% 2H (không tăng tốc)</t>
        </is>
      </c>
      <c r="B15" s="6" t="inlineStr">
        <is>
          <t>-63</t>
        </is>
      </c>
      <c r="C15" s="6" t="inlineStr">
        <is>
          <t>10,785</t>
        </is>
      </c>
      <c r="D15" s="6" t="inlineStr">
        <is>
          <t>+14.0%</t>
        </is>
      </c>
    </row>
    <row r="16">
      <c r="A16" s="6" t="inlineStr">
        <is>
          <t>CNTT trong nước giữ +22.5% 2H thay vì +5.6%</t>
        </is>
      </c>
      <c r="B16" s="6" t="inlineStr">
        <is>
          <t>+68</t>
        </is>
      </c>
      <c r="C16" s="6" t="inlineStr">
        <is>
          <t>10,916</t>
        </is>
      </c>
      <c r="D16" s="6" t="inlineStr">
        <is>
          <t>+15.3%</t>
        </is>
      </c>
    </row>
    <row r="17">
      <c r="A17" s="6" t="inlineStr">
        <is>
          <t>Gộp toàn bộ chiều giảm</t>
        </is>
      </c>
      <c r="B17" s="6" t="inlineStr">
        <is>
          <t>-481</t>
        </is>
      </c>
      <c r="C17" s="6" t="inlineStr">
        <is>
          <t>10,367</t>
        </is>
      </c>
      <c r="D17" s="6" t="inlineStr">
        <is>
          <t>+9.5%</t>
        </is>
      </c>
    </row>
    <row r="18">
      <c r="A18" s="6" t="inlineStr">
        <is>
          <t>Gộp toàn bộ chiều tăng</t>
        </is>
      </c>
      <c r="B18" s="6" t="inlineStr">
        <is>
          <t>+68</t>
        </is>
      </c>
      <c r="C18" s="6" t="inlineStr">
        <is>
          <t>10,916</t>
        </is>
      </c>
      <c r="D18" s="6" t="inlineStr">
        <is>
          <t>+15.3%</t>
        </is>
      </c>
    </row>
    <row r="19">
      <c r="A19" t="inlineStr">
        <is>
          <t>FY27F-28F — KHÔNG ĐƯỢC 1H26 XÁC NHẬN</t>
        </is>
      </c>
      <c r="B19" s="5" t="n"/>
    </row>
    <row r="20">
      <c r="A20" t="inlineStr">
        <is>
          <t>Cấu phần tăng trưởng khối hoạt động</t>
        </is>
      </c>
      <c r="B20" s="5" t="inlineStr">
        <is>
          <t>FY27F</t>
        </is>
      </c>
      <c r="C20" t="inlineStr">
        <is>
          <t>FY28F</t>
        </is>
      </c>
      <c r="D20" t="inlineStr">
        <is>
          <t>Ghi chú</t>
        </is>
      </c>
    </row>
    <row r="21">
      <c r="A21" s="6" t="inlineStr">
        <is>
          <t>Lợi nhuận hoạt động lõi</t>
        </is>
      </c>
      <c r="B21" s="6" t="inlineStr">
        <is>
          <t>+1,229 (73%)</t>
        </is>
      </c>
      <c r="C21" s="6" t="inlineStr">
        <is>
          <t>+2,001 (98%)</t>
        </is>
      </c>
      <c r="D21" s="6" t="inlineStr">
        <is>
          <t>dựa vào đòn bẩy SG&amp;A</t>
        </is>
      </c>
    </row>
    <row r="22">
      <c r="A22" s="6" t="inlineStr">
        <is>
          <t>Thu nhập tài chính ròng</t>
        </is>
      </c>
      <c r="B22" s="6" t="inlineStr">
        <is>
          <t>+446 (26%)</t>
        </is>
      </c>
      <c r="C22" s="6" t="inlineStr">
        <is>
          <t>+25 (1%)</t>
        </is>
      </c>
      <c r="D22" s="6" t="inlineStr">
        <is>
          <t>ĐIỂM YẾU NHẤT</t>
        </is>
      </c>
    </row>
    <row r="23">
      <c r="A23" s="6" t="inlineStr">
        <is>
          <t>Thu nhập tài chính ròng — mức tuyệt đối</t>
        </is>
      </c>
      <c r="B23" s="6" t="inlineStr">
        <is>
          <t>558 -&gt; 1,004 (+80%)</t>
        </is>
      </c>
      <c r="C23" s="6" t="inlineStr">
        <is>
          <t>1,030</t>
        </is>
      </c>
      <c r="D23" s="6" t="inlineStr">
        <is>
          <t>chưa có lý do</t>
        </is>
      </c>
    </row>
    <row r="24">
      <c r="A24" s="6" t="inlineStr">
        <is>
          <t>Nếu thu nhập tài chính chỉ đi ngang ở 558</t>
        </is>
      </c>
      <c r="B24" s="6" t="inlineStr">
        <is>
          <t>FY27F 12,163</t>
        </is>
      </c>
      <c r="C24" s="6" t="inlineStr">
        <is>
          <t>+12.1% thay vì +15.7%</t>
        </is>
      </c>
      <c r="D24" s="6" t="inlineStr">
        <is>
          <t>GAP</t>
        </is>
      </c>
    </row>
    <row r="25">
      <c r="A25" s="6" t="inlineStr">
        <is>
          <t>Biên hoạt động lõi</t>
        </is>
      </c>
      <c r="B25" s="6" t="inlineStr">
        <is>
          <t>17.06% -&gt; 16.66% -&gt; 16.97%</t>
        </is>
      </c>
      <c r="C25" s="6" t="n"/>
      <c r="D25" s="6" t="inlineStr">
        <is>
          <t>giảm rồi hồi</t>
        </is>
      </c>
    </row>
    <row r="26">
      <c r="A26" t="inlineStr">
        <is>
          <t>KẾT LUẬN</t>
        </is>
      </c>
      <c r="B26" s="5" t="n"/>
    </row>
    <row r="27">
      <c r="A27" s="6" t="inlineStr">
        <is>
          <t>FY26F</t>
        </is>
      </c>
      <c r="B27" s="6" t="inlineStr">
        <is>
          <t>đối chiếu chặt — 4 hướng trong biên 0.9%</t>
        </is>
      </c>
      <c r="C27" s="6" t="n"/>
      <c r="D27" s="6" t="inlineStr">
        <is>
          <t>CHECK</t>
        </is>
      </c>
    </row>
    <row r="28">
      <c r="A28" s="6" t="inlineStr">
        <is>
          <t>FY27F</t>
        </is>
      </c>
      <c r="B28" s="6" t="inlineStr">
        <is>
          <t>chưa đối chiếu được; 26% mức tăng đến từ thu nhập tài chính</t>
        </is>
      </c>
      <c r="C28" s="6" t="n"/>
      <c r="D28" s="6" t="inlineStr">
        <is>
          <t>GAP</t>
        </is>
      </c>
    </row>
    <row r="29">
      <c r="A29" s="6" t="inlineStr">
        <is>
          <t>FY28F</t>
        </is>
      </c>
      <c r="B29" s="6" t="inlineStr">
        <is>
          <t>cấu phần sạch hơn nhưng phụ thuộc hoàn toàn giả định SG&amp;A</t>
        </is>
      </c>
      <c r="C29" s="6" t="n"/>
      <c r="D29" s="6" t="inlineStr">
        <is>
          <t>GAP</t>
        </is>
      </c>
    </row>
    <row r="31">
      <c r="A31" t="inlineStr">
        <is>
          <t>FPT — TIỀN GỬI VÀ THU NHẬP TÀI CHÍNH</t>
        </is>
      </c>
      <c r="B31" s="5" t="n"/>
    </row>
    <row r="32">
      <c r="A32" t="inlineStr">
        <is>
          <t>Khoản mục (tỷ đồng)</t>
        </is>
      </c>
      <c r="B32" s="5" t="inlineStr">
        <is>
          <t>FY24</t>
        </is>
      </c>
      <c r="C32" t="inlineStr">
        <is>
          <t>FY25</t>
        </is>
      </c>
      <c r="D32" t="inlineStr">
        <is>
          <t>FY26F / FY27F / FY28F</t>
        </is>
      </c>
    </row>
    <row r="33">
      <c r="A33" s="6" t="inlineStr">
        <is>
          <t>Tiền và tương đương tiền (BS!6)</t>
        </is>
      </c>
      <c r="B33" s="6" t="inlineStr">
        <is>
          <t>9,315</t>
        </is>
      </c>
      <c r="C33" s="6" t="inlineStr">
        <is>
          <t>10,540</t>
        </is>
      </c>
      <c r="D33" s="6" t="inlineStr">
        <is>
          <t>17,810 / 20,357 / 22,560</t>
        </is>
      </c>
    </row>
    <row r="34">
      <c r="A34" s="6" t="inlineStr">
        <is>
          <t>Đầu tư tài chính ngắn hạn (BS!7)</t>
        </is>
      </c>
      <c r="B34" s="6" t="inlineStr">
        <is>
          <t>21,785</t>
        </is>
      </c>
      <c r="C34" s="6" t="inlineStr">
        <is>
          <t>29,613</t>
        </is>
      </c>
      <c r="D34" s="6" t="inlineStr">
        <is>
          <t>29,613 cả 3 năm — GIỮ NGUYÊN</t>
        </is>
      </c>
    </row>
    <row r="35">
      <c r="A35" s="6">
        <f> Thanh khoản gộp</f>
        <v/>
      </c>
      <c r="B35" s="6" t="inlineStr">
        <is>
          <t>31,100</t>
        </is>
      </c>
      <c r="C35" s="6" t="inlineStr">
        <is>
          <t>40,153</t>
        </is>
      </c>
      <c r="D35" s="6" t="inlineStr">
        <is>
          <t>47,423 / 49,970 / 52,173</t>
        </is>
      </c>
    </row>
    <row r="36">
      <c r="A36" s="6" t="inlineStr">
        <is>
          <t>Tổng nợ vay (BS!58)</t>
        </is>
      </c>
      <c r="B36" s="6" t="inlineStr">
        <is>
          <t>14,947</t>
        </is>
      </c>
      <c r="C36" s="6" t="inlineStr">
        <is>
          <t>21,073</t>
        </is>
      </c>
      <c r="D36" s="6" t="inlineStr">
        <is>
          <t>21,486 / 21,966 / 21,966</t>
        </is>
      </c>
    </row>
    <row r="37">
      <c r="A37" s="6">
        <f> Tiền ròng</f>
        <v/>
      </c>
      <c r="B37" s="6" t="inlineStr">
        <is>
          <t>16,153</t>
        </is>
      </c>
      <c r="C37" s="6" t="inlineStr">
        <is>
          <t>19,080</t>
        </is>
      </c>
      <c r="D37" s="6" t="inlineStr">
        <is>
          <t>25,937 / 28,004 / 30,207</t>
        </is>
      </c>
    </row>
    <row r="38">
      <c r="A38" s="6" t="inlineStr">
        <is>
          <t>Doanh thu HĐ tài chính (PL!32)</t>
        </is>
      </c>
      <c r="B38" s="6" t="inlineStr">
        <is>
          <t>1,936</t>
        </is>
      </c>
      <c r="C38" s="6" t="inlineStr">
        <is>
          <t>2,977</t>
        </is>
      </c>
      <c r="D38" s="6" t="inlineStr">
        <is>
          <t>1,882 / 2,444 / 2,554</t>
        </is>
      </c>
    </row>
    <row r="39">
      <c r="A39" s="6" t="inlineStr">
        <is>
          <t>Chi phí HĐ tài chính (PL!34)</t>
        </is>
      </c>
      <c r="B39" s="6" t="inlineStr">
        <is>
          <t>1,812</t>
        </is>
      </c>
      <c r="C39" s="6" t="inlineStr">
        <is>
          <t>1,672</t>
        </is>
      </c>
      <c r="D39" s="6" t="inlineStr">
        <is>
          <t>1,324 / 1,439 / 1,524</t>
        </is>
      </c>
    </row>
    <row r="40">
      <c r="A40" s="6" t="inlineStr">
        <is>
          <t xml:space="preserve">  trong đó chi phí lãi vay (PL!35)</t>
        </is>
      </c>
      <c r="B40" s="6" t="inlineStr">
        <is>
          <t>552</t>
        </is>
      </c>
      <c r="C40" s="6" t="inlineStr">
        <is>
          <t>810</t>
        </is>
      </c>
      <c r="D40" s="6" t="inlineStr">
        <is>
          <t>924 / 978 / 988</t>
        </is>
      </c>
    </row>
    <row r="41">
      <c r="A41" s="6">
        <f> Lãi/lỗ HĐ tài chính thuần (PL!39)</f>
        <v/>
      </c>
      <c r="B41" s="6" t="inlineStr">
        <is>
          <t>124</t>
        </is>
      </c>
      <c r="C41" s="6" t="inlineStr">
        <is>
          <t>1,305</t>
        </is>
      </c>
      <c r="D41" s="6" t="inlineStr">
        <is>
          <t>558 / 1,004 / 1,029</t>
        </is>
      </c>
    </row>
    <row r="42">
      <c r="A42" s="6" t="inlineStr">
        <is>
          <t>Suất sinh lời trên thanh khoản (PL!33)</t>
        </is>
      </c>
      <c r="B42" s="6" t="inlineStr">
        <is>
          <t>6.23%</t>
        </is>
      </c>
      <c r="C42" s="6" t="inlineStr">
        <is>
          <t>7.41%</t>
        </is>
      </c>
      <c r="D42" s="6" t="inlineStr">
        <is>
          <t>3.97% / 4.89% / 4.90%</t>
        </is>
      </c>
    </row>
    <row r="43">
      <c r="A43" t="inlineStr">
        <is>
          <t>BẢN CHẤT KHOẢN ĐẦU TƯ — theo Thuyết minh 4 BCTC FOX</t>
        </is>
      </c>
      <c r="B43" s="5" t="n"/>
    </row>
    <row r="44">
      <c r="A44" s="6" t="inlineStr">
        <is>
          <t>FOX — tiền gửi có kỳ hạn 31/12/2025</t>
        </is>
      </c>
      <c r="B44" s="6" t="inlineStr">
        <is>
          <t>12,378.5</t>
        </is>
      </c>
      <c r="C44" s="6" t="inlineStr">
        <is>
          <t>VNDbn</t>
        </is>
      </c>
      <c r="D44" s="6" t="inlineStr">
        <is>
          <t>COMPANY (TM4)</t>
        </is>
      </c>
    </row>
    <row r="45">
      <c r="A45" s="6" t="inlineStr">
        <is>
          <t>FOX — lãi phải thu ngắn hạn 31/12/2025</t>
        </is>
      </c>
      <c r="B45" s="6" t="inlineStr">
        <is>
          <t>163.4</t>
        </is>
      </c>
      <c r="C45" s="6" t="inlineStr">
        <is>
          <t>VNDbn</t>
        </is>
      </c>
      <c r="D45" s="6" t="inlineStr">
        <is>
          <t>COMPANY (TM4)</t>
        </is>
      </c>
    </row>
    <row r="46">
      <c r="A46" s="6" t="inlineStr">
        <is>
          <t>FOX — tổng ĐT nắm giữ đến đáo hạn 31/12/2025</t>
        </is>
      </c>
      <c r="B46" s="6" t="inlineStr">
        <is>
          <t>12,541.9</t>
        </is>
      </c>
      <c r="C46" s="6" t="inlineStr">
        <is>
          <t>VNDbn</t>
        </is>
      </c>
      <c r="D46" s="6" t="inlineStr">
        <is>
          <t>COMPANY (TM4)</t>
        </is>
      </c>
    </row>
    <row r="47">
      <c r="A47" s="6" t="inlineStr">
        <is>
          <t>FOX — tổng ĐT nắm giữ đến đáo hạn 30/06/2026</t>
        </is>
      </c>
      <c r="B47" s="6" t="inlineStr">
        <is>
          <t>15,284.0</t>
        </is>
      </c>
      <c r="C47" s="6" t="inlineStr">
        <is>
          <t>VNDbn</t>
        </is>
      </c>
      <c r="D47" s="6" t="inlineStr">
        <is>
          <t>COMPANY (TM4)</t>
        </is>
      </c>
    </row>
    <row r="48">
      <c r="A48" s="6" t="inlineStr">
        <is>
          <t>BẢN CHẤT</t>
        </is>
      </c>
      <c r="B48" s="6" t="inlineStr">
        <is>
          <t>tiền gửi NHTM trong nước, kỳ hạn gốc 3-12 tháng</t>
        </is>
      </c>
      <c r="C48" s="6" t="n"/>
      <c r="D48" s="6" t="inlineStr">
        <is>
          <t>COMPANY (TM4)</t>
        </is>
      </c>
    </row>
    <row r="49">
      <c r="A49" s="6" t="inlineStr">
        <is>
          <t>CHỨNG CHỈ TIỀN GỬI (CD)</t>
        </is>
      </c>
      <c r="B49" s="6" t="inlineStr">
        <is>
          <t>KHÔNG có khoản nào được phân loại là CD ở FOX</t>
        </is>
      </c>
      <c r="C49" s="6" t="n"/>
      <c r="D49" s="6" t="inlineStr">
        <is>
          <t>COMPANY</t>
        </is>
      </c>
    </row>
    <row r="50">
      <c r="A50" s="6" t="inlineStr">
        <is>
          <t>FPT mẹ — chưa xác minh được</t>
        </is>
      </c>
      <c r="B50" s="6" t="inlineStr">
        <is>
          <t>chưa có BCTC riêng của FPT; không suy diễn tỷ trọng CD</t>
        </is>
      </c>
      <c r="C50" s="6" t="n"/>
      <c r="D50" s="6" t="inlineStr">
        <is>
          <t>GAP</t>
        </is>
      </c>
    </row>
    <row r="51">
      <c r="A51" t="inlineStr">
        <is>
          <t>PHÁT HIỆN — BẢNG CÂN ĐỐI CHƯA ĐƯỢC LẬP LẠI SAU KHI THÔI HỢP NHẤT</t>
        </is>
      </c>
      <c r="B51" s="5" t="n"/>
    </row>
    <row r="52">
      <c r="A52" s="6" t="inlineStr">
        <is>
          <t>ĐTTC ngắn hạn 29,613 vẫn gồm FOX</t>
        </is>
      </c>
      <c r="B52" s="6" t="inlineStr">
        <is>
          <t>FOX chiếm 12,542 (42%) — FPT trừ FOX còn ~17,071</t>
        </is>
      </c>
      <c r="C52" s="6" t="n"/>
      <c r="D52" s="6" t="inlineStr">
        <is>
          <t>DERIVED</t>
        </is>
      </c>
    </row>
    <row r="53">
      <c r="A53" s="6" t="inlineStr">
        <is>
          <t>Tổng tài sản FY26F 92,112</t>
        </is>
      </c>
      <c r="B53" s="6" t="inlineStr">
        <is>
          <t>lẽ ra ~74,000 + tăng trưởng (bỏ FOX 26,105, cộng 12,270 VCSH)</t>
        </is>
      </c>
      <c r="C53" s="6" t="n"/>
      <c r="D53" s="6" t="inlineStr">
        <is>
          <t>GAP</t>
        </is>
      </c>
    </row>
    <row r="54">
      <c r="A54" s="6" t="inlineStr">
        <is>
          <t>Hệ quả</t>
        </is>
      </c>
      <c r="B54" s="6" t="inlineStr">
        <is>
          <t>P/B, BVPS, VCSH, tổng tài sản trên slide không tin cậy</t>
        </is>
      </c>
      <c r="C54" s="6" t="n"/>
      <c r="D54" s="6" t="inlineStr">
        <is>
          <t>GAP</t>
        </is>
      </c>
    </row>
    <row r="55">
      <c r="A55" s="6" t="inlineStr">
        <is>
          <t>KHÔNG ảnh hưởng dự phóng LNST-CĐTS</t>
        </is>
      </c>
      <c r="B55" s="6" t="inlineStr">
        <is>
          <t>PL!32 là input từ lịch riêng (PL!K390), không chạy từ BS</t>
        </is>
      </c>
      <c r="C55" s="6" t="n"/>
      <c r="D55" s="6" t="inlineStr">
        <is>
          <t>CHECK</t>
        </is>
      </c>
    </row>
    <row r="56">
      <c r="A56" t="inlineStr">
        <is>
          <t>ĐÍNH CHÍNH NHẬN ĐỊNH TRƯỚC ĐÓ VỀ FY27F</t>
        </is>
      </c>
      <c r="B56" s="5" t="n"/>
    </row>
    <row r="57">
      <c r="A57" s="6" t="inlineStr">
        <is>
          <t>Nhận định cũ</t>
        </is>
      </c>
      <c r="B57" s="6" t="inlineStr">
        <is>
          <t>thu nhập tài chính 558 -&gt; 1,004 là điểm yếu nhất, không có lý do</t>
        </is>
      </c>
      <c r="C57" s="6" t="n"/>
      <c r="D57" s="6" t="inlineStr">
        <is>
          <t>REJECTED</t>
        </is>
      </c>
    </row>
    <row r="58">
      <c r="A58" s="6" t="inlineStr">
        <is>
          <t>Bằng chứng mới</t>
        </is>
      </c>
      <c r="B58" s="6" t="inlineStr">
        <is>
          <t>FOX 1H26 đạt 7.64% trên cùng thước đo; FPT FY25 đạt 7.41%</t>
        </is>
      </c>
      <c r="C58" s="6" t="n"/>
      <c r="D58" s="6" t="inlineStr">
        <is>
          <t>COMPANY</t>
        </is>
      </c>
    </row>
    <row r="59">
      <c r="A59" s="6" t="inlineStr">
        <is>
          <t>Nhận định đúng</t>
        </is>
      </c>
      <c r="B59" s="6" t="inlineStr">
        <is>
          <t>FY26F 3.97% mới là số lạc; FY27F 4.89% là hồi về mức bình thường</t>
        </is>
      </c>
      <c r="C59" s="6" t="n"/>
      <c r="D59" s="6" t="inlineStr">
        <is>
          <t>DERIVED</t>
        </is>
      </c>
    </row>
    <row r="60">
      <c r="A60" s="6" t="inlineStr">
        <is>
          <t>Trên nền trừ FOX</t>
        </is>
      </c>
      <c r="B60" s="6" t="inlineStr">
        <is>
          <t>FY26F 5.40% / FY27F 6.53% — vẫn thấp hơn 7.4-7.6% quan sát được</t>
        </is>
      </c>
      <c r="C60" s="6" t="n"/>
      <c r="D60" s="6" t="inlineStr">
        <is>
          <t>DERIVED</t>
        </is>
      </c>
    </row>
    <row r="61">
      <c r="A61" s="6" t="inlineStr">
        <is>
          <t>Chiều rủi ro</t>
        </is>
      </c>
      <c r="B61" s="6" t="inlineStr">
        <is>
          <t>FY26F có thể đang thận trọng, không phải FY27F quá lạc quan</t>
        </is>
      </c>
      <c r="C61" s="6" t="n"/>
      <c r="D61" s="6" t="inlineStr">
        <is>
          <t>DERIVED</t>
        </is>
      </c>
    </row>
    <row r="63">
      <c r="A63" t="inlineStr">
        <is>
          <t>FPT — DỰNG LẠI TRÊN BCTC HỢP NHẤT Q2/2026 CỦA CHÍNH FPT (ký 21/07/2026)</t>
        </is>
      </c>
      <c r="B63" s="5" t="n"/>
    </row>
    <row r="64">
      <c r="A64" t="inlineStr">
        <is>
          <t>Chỉ tiêu 1H26 (tỷ đồng)</t>
        </is>
      </c>
      <c r="B64" s="5" t="inlineStr">
        <is>
          <t>Số liệu</t>
        </is>
      </c>
      <c r="C64" t="inlineStr">
        <is>
          <t>Tỷ lệ</t>
        </is>
      </c>
      <c r="D64" t="inlineStr">
        <is>
          <t>Nguồn</t>
        </is>
      </c>
    </row>
    <row r="65">
      <c r="A65" s="6" t="inlineStr">
        <is>
          <t>Doanh thu thuần</t>
        </is>
      </c>
      <c r="B65" s="6" t="inlineStr">
        <is>
          <t>26,268.5</t>
        </is>
      </c>
      <c r="C65" s="6" t="n"/>
      <c r="D65" s="6" t="inlineStr">
        <is>
          <t>COMPANY (KQKD HN)</t>
        </is>
      </c>
    </row>
    <row r="66">
      <c r="A66" s="6" t="inlineStr">
        <is>
          <t>Giá vốn</t>
        </is>
      </c>
      <c r="B66" s="6" t="inlineStr">
        <is>
          <t>17,745.0</t>
        </is>
      </c>
      <c r="C66" s="6" t="inlineStr">
        <is>
          <t>67.552% DT</t>
        </is>
      </c>
      <c r="D66" s="6" t="inlineStr">
        <is>
          <t>COMPANY</t>
        </is>
      </c>
    </row>
    <row r="67">
      <c r="A67" s="6" t="inlineStr">
        <is>
          <t>Lợi nhuận gộp</t>
        </is>
      </c>
      <c r="B67" s="6" t="inlineStr">
        <is>
          <t>8,523.5</t>
        </is>
      </c>
      <c r="C67" s="6" t="inlineStr">
        <is>
          <t>32.448% DT</t>
        </is>
      </c>
      <c r="D67" s="6" t="inlineStr">
        <is>
          <t>COMPANY</t>
        </is>
      </c>
    </row>
    <row r="68">
      <c r="A68" s="6" t="inlineStr">
        <is>
          <t>Chi phí bán hàng</t>
        </is>
      </c>
      <c r="B68" s="6" t="inlineStr">
        <is>
          <t>2,151.4</t>
        </is>
      </c>
      <c r="C68" s="6" t="inlineStr">
        <is>
          <t>8.190% DT</t>
        </is>
      </c>
      <c r="D68" s="6" t="inlineStr">
        <is>
          <t>COMPANY</t>
        </is>
      </c>
    </row>
    <row r="69">
      <c r="A69" s="6" t="inlineStr">
        <is>
          <t>Chi phí quản lý</t>
        </is>
      </c>
      <c r="B69" s="6" t="inlineStr">
        <is>
          <t>2,492.9</t>
        </is>
      </c>
      <c r="C69" s="6" t="inlineStr">
        <is>
          <t>9.490% DT</t>
        </is>
      </c>
      <c r="D69" s="6" t="inlineStr">
        <is>
          <t>COMPANY</t>
        </is>
      </c>
    </row>
    <row r="70">
      <c r="A70" s="6" t="inlineStr">
        <is>
          <t>Doanh thu HĐ tài chính</t>
        </is>
      </c>
      <c r="B70" s="6" t="inlineStr">
        <is>
          <t>998.6</t>
        </is>
      </c>
      <c r="C70" s="6" t="n"/>
      <c r="D70" s="6" t="inlineStr">
        <is>
          <t>COMPANY (TM 27)</t>
        </is>
      </c>
    </row>
    <row r="71">
      <c r="A71" s="6" t="inlineStr">
        <is>
          <t xml:space="preserve">  - lãi tiền gửi</t>
        </is>
      </c>
      <c r="B71" s="6" t="inlineStr">
        <is>
          <t>813.2</t>
        </is>
      </c>
      <c r="C71" s="6" t="n"/>
      <c r="D71" s="6" t="inlineStr">
        <is>
          <t>COMPANY (TM 27)</t>
        </is>
      </c>
    </row>
    <row r="72">
      <c r="A72" s="6" t="inlineStr">
        <is>
          <t xml:space="preserve">  - lãi tỷ giá</t>
        </is>
      </c>
      <c r="B72" s="6" t="inlineStr">
        <is>
          <t>149.7</t>
        </is>
      </c>
      <c r="C72" s="6" t="n"/>
      <c r="D72" s="6" t="inlineStr">
        <is>
          <t>COMPANY (TM 27)</t>
        </is>
      </c>
    </row>
    <row r="73">
      <c r="A73" s="6" t="inlineStr">
        <is>
          <t xml:space="preserve">  - cổ tức, LN được chia</t>
        </is>
      </c>
      <c r="B73" s="6" t="inlineStr">
        <is>
          <t>33.3</t>
        </is>
      </c>
      <c r="C73" s="6" t="n"/>
      <c r="D73" s="6" t="inlineStr">
        <is>
          <t>COMPANY (TM 27)</t>
        </is>
      </c>
    </row>
    <row r="74">
      <c r="A74" s="6" t="inlineStr">
        <is>
          <t>Chi phí HĐ tài chính</t>
        </is>
      </c>
      <c r="B74" s="6" t="inlineStr">
        <is>
          <t>667.7</t>
        </is>
      </c>
      <c r="C74" s="6" t="n"/>
      <c r="D74" s="6" t="inlineStr">
        <is>
          <t>COMPANY (TM 28)</t>
        </is>
      </c>
    </row>
    <row r="75">
      <c r="A75" s="6" t="inlineStr">
        <is>
          <t xml:space="preserve">  - chi phí lãi vay</t>
        </is>
      </c>
      <c r="B75" s="6" t="inlineStr">
        <is>
          <t>392.0</t>
        </is>
      </c>
      <c r="C75" s="6" t="n"/>
      <c r="D75" s="6" t="inlineStr">
        <is>
          <t>COMPANY (TM 28)</t>
        </is>
      </c>
    </row>
    <row r="76">
      <c r="A76" s="6" t="inlineStr">
        <is>
          <t xml:space="preserve">  - lỗ tỷ giá</t>
        </is>
      </c>
      <c r="B76" s="6" t="inlineStr">
        <is>
          <t>209.9</t>
        </is>
      </c>
      <c r="C76" s="6" t="n"/>
      <c r="D76" s="6" t="inlineStr">
        <is>
          <t>COMPANY (TM 28)</t>
        </is>
      </c>
    </row>
    <row r="77">
      <c r="A77" s="6" t="inlineStr">
        <is>
          <t xml:space="preserve">  - dự phòng giảm giá đầu tư</t>
        </is>
      </c>
      <c r="B77" s="6" t="inlineStr">
        <is>
          <t>65.4</t>
        </is>
      </c>
      <c r="C77" s="6" t="n"/>
      <c r="D77" s="6" t="inlineStr">
        <is>
          <t>COMPANY (TM 28)</t>
        </is>
      </c>
    </row>
    <row r="78">
      <c r="A78" s="6">
        <f> Lãi HĐ tài chính thuần</f>
        <v/>
      </c>
      <c r="B78" s="6" t="inlineStr">
        <is>
          <t>330.9</t>
        </is>
      </c>
      <c r="C78" s="6" t="n"/>
      <c r="D78" s="6" t="inlineStr">
        <is>
          <t>DERIVED</t>
        </is>
      </c>
    </row>
    <row r="79">
      <c r="A79" s="6" t="inlineStr">
        <is>
          <t>LN từ công ty liên doanh, liên kết</t>
        </is>
      </c>
      <c r="B79" s="6" t="inlineStr">
        <is>
          <t>1,423.4</t>
        </is>
      </c>
      <c r="C79" s="6" t="n"/>
      <c r="D79" s="6" t="inlineStr">
        <is>
          <t>COMPANY</t>
        </is>
      </c>
    </row>
    <row r="80">
      <c r="A80" s="6" t="inlineStr">
        <is>
          <t>Chi phí thuế TNDN (hiện hành + hoãn lại)</t>
        </is>
      </c>
      <c r="B80" s="6" t="inlineStr">
        <is>
          <t>667.1</t>
        </is>
      </c>
      <c r="C80" s="6" t="inlineStr">
        <is>
          <t>15.55% phần ngoài LK</t>
        </is>
      </c>
      <c r="D80" s="6" t="inlineStr">
        <is>
          <t>COMPANY</t>
        </is>
      </c>
    </row>
    <row r="81">
      <c r="A81" s="6" t="inlineStr">
        <is>
          <t>Lợi ích cổ đông không kiểm soát</t>
        </is>
      </c>
      <c r="B81" s="6" t="inlineStr">
        <is>
          <t>-7.8</t>
        </is>
      </c>
      <c r="C81" s="6" t="inlineStr">
        <is>
          <t>≈ 0 sau thôi hợp nhất</t>
        </is>
      </c>
      <c r="D81" s="6" t="inlineStr">
        <is>
          <t>COMPANY</t>
        </is>
      </c>
    </row>
    <row r="82">
      <c r="A82" s="6" t="inlineStr">
        <is>
          <t>LNST-CĐTS</t>
        </is>
      </c>
      <c r="B82" s="6" t="inlineStr">
        <is>
          <t>5,055.0</t>
        </is>
      </c>
      <c r="C82" s="6" t="n"/>
      <c r="D82" s="6" t="inlineStr">
        <is>
          <t>COMPANY</t>
        </is>
      </c>
    </row>
    <row r="83">
      <c r="A83" t="inlineStr">
        <is>
          <t>CÔNG TY LIÊN KẾT — TM 17 (giải thích dòng 1,423.4)</t>
        </is>
      </c>
      <c r="B83" s="5" t="n"/>
    </row>
    <row r="84">
      <c r="A84" s="6" t="inlineStr">
        <is>
          <t>CTCP Viễn thông FPT (FOX)</t>
        </is>
      </c>
      <c r="B84" s="6" t="inlineStr">
        <is>
          <t>45.66%</t>
        </is>
      </c>
      <c r="C84" s="6" t="inlineStr">
        <is>
          <t>~857 trong 1H26</t>
        </is>
      </c>
      <c r="D84" s="6" t="inlineStr">
        <is>
          <t>COMPANY</t>
        </is>
      </c>
    </row>
    <row r="85">
      <c r="A85" s="6" t="inlineStr">
        <is>
          <t>CTCP Bán lẻ Kỹ thuật số FPT (FRT)</t>
        </is>
      </c>
      <c r="B85" s="6" t="inlineStr">
        <is>
          <t>46.54%</t>
        </is>
      </c>
      <c r="C85" s="6" t="n"/>
      <c r="D85" s="6" t="inlineStr">
        <is>
          <t>COMPANY</t>
        </is>
      </c>
    </row>
    <row r="86">
      <c r="A86" s="6" t="inlineStr">
        <is>
          <t>CTCP Synnex FPT</t>
        </is>
      </c>
      <c r="B86" s="6" t="inlineStr">
        <is>
          <t>48.00%</t>
        </is>
      </c>
      <c r="C86" s="6" t="n"/>
      <c r="D86" s="6" t="inlineStr">
        <is>
          <t>COMPANY</t>
        </is>
      </c>
    </row>
    <row r="87">
      <c r="A87" s="6" t="inlineStr">
        <is>
          <t>CTCP Dịch vụ Trực tuyến FPT</t>
        </is>
      </c>
      <c r="B87" s="6" t="inlineStr">
        <is>
          <t>49.52% (23.86% biểu quyết)</t>
        </is>
      </c>
      <c r="C87" s="6" t="n"/>
      <c r="D87" s="6" t="inlineStr">
        <is>
          <t>COMPANY</t>
        </is>
      </c>
    </row>
    <row r="88">
      <c r="A88" t="inlineStr">
        <is>
          <t>TIỀN GỬI — TM 6 (đóng lại câu hỏi về chứng chỉ tiền gửi)</t>
        </is>
      </c>
      <c r="B88" s="5" t="n"/>
    </row>
    <row r="89">
      <c r="A89" s="6" t="inlineStr">
        <is>
          <t>Tiền gửi có kỳ hạn 30/06/2026</t>
        </is>
      </c>
      <c r="B89" s="6" t="inlineStr">
        <is>
          <t>19,406.1</t>
        </is>
      </c>
      <c r="C89" s="6" t="inlineStr">
        <is>
          <t>100% VND</t>
        </is>
      </c>
      <c r="D89" s="6" t="inlineStr">
        <is>
          <t>COMPANY (TM 6)</t>
        </is>
      </c>
    </row>
    <row r="90">
      <c r="A90" s="6" t="inlineStr">
        <is>
          <t>Tiền gửi có kỳ hạn 31/12/2025</t>
        </is>
      </c>
      <c r="B90" s="6" t="inlineStr">
        <is>
          <t>29,631.0</t>
        </is>
      </c>
      <c r="C90" s="6" t="inlineStr">
        <is>
          <t>VND 28,465 / JPY 1,008 / EUR 158</t>
        </is>
      </c>
      <c r="D90" s="6" t="inlineStr">
        <is>
          <t>COMPANY (TM 6)</t>
        </is>
      </c>
    </row>
    <row r="91">
      <c r="A91" s="6" t="inlineStr">
        <is>
          <t>CHỨNG CHỈ TIỀN GỬI</t>
        </is>
      </c>
      <c r="B91" s="6" t="inlineStr">
        <is>
          <t>KHÔNG có — toàn bộ là tiền gửi ngân hàng</t>
        </is>
      </c>
      <c r="C91" s="6" t="n"/>
      <c r="D91" s="6" t="inlineStr">
        <is>
          <t>COMPANY (TM 6)</t>
        </is>
      </c>
    </row>
    <row r="92">
      <c r="A92" s="6" t="inlineStr">
        <is>
          <t>Tiền + tiền gửi, trừ FOX</t>
        </is>
      </c>
      <c r="B92" s="6" t="inlineStr">
        <is>
          <t>27,061 (31/12/25) -&gt; 28,472 (30/06/26)</t>
        </is>
      </c>
      <c r="C92" s="6" t="inlineStr">
        <is>
          <t>+10.7%/năm</t>
        </is>
      </c>
      <c r="D92" s="6" t="inlineStr">
        <is>
          <t>DERIVED</t>
        </is>
      </c>
    </row>
    <row r="93">
      <c r="A93" s="6" t="inlineStr">
        <is>
          <t>Suất sinh lời tiền gửi thực tế</t>
        </is>
      </c>
      <c r="B93" s="6" t="inlineStr">
        <is>
          <t>813.2 x2 / bình quân 27,766</t>
        </is>
      </c>
      <c r="C93" s="6" t="inlineStr">
        <is>
          <t>5.86%</t>
        </is>
      </c>
      <c r="D93" s="6" t="inlineStr">
        <is>
          <t>DERIVED</t>
        </is>
      </c>
    </row>
    <row r="94">
      <c r="A94" s="6" t="inlineStr">
        <is>
          <t>Tổng nợ vay 30/06/2026</t>
        </is>
      </c>
      <c r="B94" s="6" t="inlineStr">
        <is>
          <t>18,448.4</t>
        </is>
      </c>
      <c r="C94" s="6" t="inlineStr">
        <is>
          <t>từ 21,073.5</t>
        </is>
      </c>
      <c r="D94" s="6" t="inlineStr">
        <is>
          <t>COMPANY (TM 23)</t>
        </is>
      </c>
    </row>
    <row r="95">
      <c r="A95" t="inlineStr">
        <is>
          <t>GIẢ ĐỊNH MỚI — thay toàn bộ bản trước</t>
        </is>
      </c>
      <c r="B95" s="5" t="n"/>
    </row>
    <row r="96">
      <c r="A96" s="6" t="inlineStr">
        <is>
          <t>PL!Q11:S11 Giá vốn</t>
        </is>
      </c>
      <c r="B96" s="6" t="inlineStr">
        <is>
          <t>Revenue!J5 -&gt; =Q9*67.552%</t>
        </is>
      </c>
      <c r="C96" s="6" t="inlineStr">
        <is>
          <t>model giả định biên gộp 34.66%</t>
        </is>
      </c>
      <c r="D96" s="6" t="inlineStr">
        <is>
          <t>MAS</t>
        </is>
      </c>
    </row>
    <row r="97">
      <c r="A97" s="6" t="inlineStr">
        <is>
          <t>PL!Q19:S19 CPBH/DT</t>
        </is>
      </c>
      <c r="B97" s="6" t="inlineStr">
        <is>
          <t>8.00/7.62/7.15% -&gt; 8.167/8.180/8.105%</t>
        </is>
      </c>
      <c r="C97" s="6" t="inlineStr">
        <is>
          <t>bỏ đòn bẩy SG&amp;A tự đặt</t>
        </is>
      </c>
      <c r="D97" s="6" t="inlineStr">
        <is>
          <t>MAS</t>
        </is>
      </c>
    </row>
    <row r="98">
      <c r="A98" s="6" t="inlineStr">
        <is>
          <t>PL!Q20:S20 CPQL/DT</t>
        </is>
      </c>
      <c r="B98" s="6" t="inlineStr">
        <is>
          <t>9.6/9.5/9.3% -&gt; 9.464/9.478/9.391%</t>
        </is>
      </c>
      <c r="C98" s="6" t="n"/>
      <c r="D98" s="6" t="inlineStr">
        <is>
          <t>MAS</t>
        </is>
      </c>
    </row>
    <row r="99">
      <c r="A99" s="6" t="inlineStr">
        <is>
          <t>PL!Q32:S32 DT tài chính</t>
        </is>
      </c>
      <c r="B99" s="6" t="inlineStr">
        <is>
          <t>1,882/2,444/2,554 -&gt; 1,890/1,925/2,129</t>
        </is>
      </c>
      <c r="C99" s="6" t="inlineStr">
        <is>
          <t>tiền gửi x 5.86%</t>
        </is>
      </c>
      <c r="D99" s="6" t="inlineStr">
        <is>
          <t>MAS</t>
        </is>
      </c>
    </row>
    <row r="100">
      <c r="A100" s="6" t="inlineStr">
        <is>
          <t>PL!Q34:S34 CP tài chính</t>
        </is>
      </c>
      <c r="B100" s="6" t="inlineStr">
        <is>
          <t>1,324/1,439/1,524 -&gt; 1,060/858/881</t>
        </is>
      </c>
      <c r="C100" s="6" t="inlineStr">
        <is>
          <t>tỷ giá &amp; dự phòng = 0 về sau</t>
        </is>
      </c>
      <c r="D100" s="6" t="inlineStr">
        <is>
          <t>MAS</t>
        </is>
      </c>
    </row>
    <row r="101">
      <c r="A101" s="6" t="inlineStr">
        <is>
          <t>PL!Q42:S42 / Q43:S43 thu nhập khác</t>
        </is>
      </c>
      <c r="B101" s="6" t="inlineStr">
        <is>
          <t>net 97/110/128 -&gt; 170/195/225</t>
        </is>
      </c>
      <c r="C101" s="6" t="n"/>
      <c r="D101" s="6" t="inlineStr">
        <is>
          <t>MAS</t>
        </is>
      </c>
    </row>
    <row r="102">
      <c r="A102" s="6" t="inlineStr">
        <is>
          <t>Scenarios!H45:J45 liên kết</t>
        </is>
      </c>
      <c r="B102" s="6" t="inlineStr">
        <is>
          <t>3.23/3.20/3.14% -&gt; 4.977/4.921/4.834%</t>
        </is>
      </c>
      <c r="C102" s="6">
        <f> 1,423.4 x2, tăng 14%/năm</f>
        <v/>
      </c>
      <c r="D102" s="6" t="inlineStr">
        <is>
          <t>MAS</t>
        </is>
      </c>
    </row>
    <row r="103">
      <c r="A103" s="6" t="inlineStr">
        <is>
          <t>PL!Q50:S50 thuế</t>
        </is>
      </c>
      <c r="B103" s="6" t="inlineStr">
        <is>
          <t>(Q47-Q45)*12% -&gt; *15.55%</t>
        </is>
      </c>
      <c r="C103" s="6" t="inlineStr">
        <is>
          <t>theo thuế suất thực tế 1H26</t>
        </is>
      </c>
      <c r="D103" s="6" t="inlineStr">
        <is>
          <t>MAS</t>
        </is>
      </c>
    </row>
    <row r="104">
      <c r="A104" s="6" t="inlineStr">
        <is>
          <t>PL!Q54:S54 lợi ích CĐTS</t>
        </is>
      </c>
      <c r="B104" s="6" t="inlineStr">
        <is>
          <t>công thức cũ -&gt; 0</t>
        </is>
      </c>
      <c r="C104" s="6" t="inlineStr">
        <is>
          <t>1H26 thực tế -7.8</t>
        </is>
      </c>
      <c r="D104" s="6" t="inlineStr">
        <is>
          <t>MAS</t>
        </is>
      </c>
    </row>
    <row r="105">
      <c r="A105" t="inlineStr">
        <is>
          <t>KẾT QUẢ — LNST-CĐTS KHÔNG ĐỔI</t>
        </is>
      </c>
      <c r="B105" s="5" t="n"/>
    </row>
    <row r="106">
      <c r="A106" s="6" t="inlineStr">
        <is>
          <t>FY26F / FY27F / FY28F</t>
        </is>
      </c>
      <c r="B106" s="6" t="inlineStr">
        <is>
          <t>10,848 / 12,549 / 14,608</t>
        </is>
      </c>
      <c r="C106" s="6" t="inlineStr">
        <is>
          <t>+14.6% / +15.7% / +16.4%</t>
        </is>
      </c>
      <c r="D106" s="6" t="inlineStr">
        <is>
          <t>MAS</t>
        </is>
      </c>
    </row>
    <row r="107">
      <c r="A107" s="6" t="inlineStr">
        <is>
          <t>LNTT trên slide</t>
        </is>
      </c>
      <c r="B107" s="6" t="inlineStr">
        <is>
          <t>12,262/14,211/16,549 -&gt; 12,321/14,261/16,617</t>
        </is>
      </c>
      <c r="C107" s="6" t="n"/>
      <c r="D107" s="6" t="inlineStr">
        <is>
          <t>MAS</t>
        </is>
      </c>
    </row>
    <row r="108">
      <c r="A108" s="6" t="inlineStr">
        <is>
          <t>Chi phí BH+QL / doanh thu</t>
        </is>
      </c>
      <c r="B108" s="6" t="inlineStr">
        <is>
          <t>17.63% / 17.66% / 17.50%</t>
        </is>
      </c>
      <c r="C108" s="6" t="inlineStr">
        <is>
          <t>1H26 thực tế 17.68% — gần như phẳng</t>
        </is>
      </c>
      <c r="D108" s="6" t="inlineStr">
        <is>
          <t>CHECK</t>
        </is>
      </c>
    </row>
    <row r="109">
      <c r="A109" s="6" t="inlineStr">
        <is>
          <t>Kiểm tra tự động</t>
        </is>
      </c>
      <c r="B109" s="6" t="inlineStr">
        <is>
          <t>verify_model.py 12/12 + check_fpt.py 42/42 đạt</t>
        </is>
      </c>
      <c r="C109" s="6" t="n"/>
      <c r="D109" s="6" t="inlineStr">
        <is>
          <t>CHECK</t>
        </is>
      </c>
    </row>
    <row r="110">
      <c r="A110" t="inlineStr">
        <is>
          <t>ĐÍNH CHÍNH — hai nhận định trước đó đều sai</t>
        </is>
      </c>
      <c r="B110" s="5" t="n"/>
    </row>
    <row r="111">
      <c r="A111" s="6" t="inlineStr">
        <is>
          <t>Sai 1: dòng liên kết 1,850</t>
        </is>
      </c>
      <c r="B111" s="6" t="inlineStr">
        <is>
          <t>thực tế 1H26 đã là 1,423.4 -&gt; cả năm ~2,847</t>
        </is>
      </c>
      <c r="C111" s="6" t="inlineStr">
        <is>
          <t>REJECTED</t>
        </is>
      </c>
      <c r="D111" s="6" t="inlineStr">
        <is>
          <t>COMPANY</t>
        </is>
      </c>
    </row>
    <row r="112">
      <c r="A112" s="6" t="inlineStr">
        <is>
          <t>Nguyên nhân</t>
        </is>
      </c>
      <c r="B112" s="6" t="inlineStr">
        <is>
          <t>chỉ tính FOX, bỏ sót FRT, Synnex FPT, FPT Online</t>
        </is>
      </c>
      <c r="C112" s="6" t="n"/>
      <c r="D112" s="6" t="inlineStr">
        <is>
          <t>DERIVED</t>
        </is>
      </c>
    </row>
    <row r="113">
      <c r="A113" s="6" t="inlineStr">
        <is>
          <t>Sai 2: thuế suất 12.0%</t>
        </is>
      </c>
      <c r="B113" s="6" t="inlineStr">
        <is>
          <t>đúng là 15.55% — mẫu số cũ thiếu 566 tỷ liên kết</t>
        </is>
      </c>
      <c r="C113" s="6" t="inlineStr">
        <is>
          <t>REJECTED</t>
        </is>
      </c>
      <c r="D113" s="6" t="inlineStr">
        <is>
          <t>COMPANY</t>
        </is>
      </c>
    </row>
    <row r="114">
      <c r="A114" s="6" t="inlineStr">
        <is>
          <t>Hệ quả</t>
        </is>
      </c>
      <c r="B114" s="6" t="inlineStr">
        <is>
          <t>giả định 15% ban đầu của model gần đúng, chỉ sai ở chỗ đánh cả phần LK</t>
        </is>
      </c>
      <c r="C114" s="6" t="n"/>
      <c r="D114" s="6" t="inlineStr">
        <is>
          <t>DERIVED</t>
        </is>
      </c>
    </row>
    <row r="115">
      <c r="A115" s="6" t="inlineStr">
        <is>
          <t>Hai sai số này từng triệt tiêu nhau</t>
        </is>
      </c>
      <c r="B115" s="6" t="inlineStr">
        <is>
          <t>model cũ: biên gộp quá cao bù cho dòng liên kết quá thấp</t>
        </is>
      </c>
      <c r="C115" s="6" t="n"/>
      <c r="D115" s="6" t="inlineStr">
        <is>
          <t>DERIVED</t>
        </is>
      </c>
    </row>
    <row r="116">
      <c r="A116" t="inlineStr">
        <is>
          <t>CÒN TỒN</t>
        </is>
      </c>
      <c r="B116" s="5" t="n"/>
    </row>
    <row r="117">
      <c r="A117" s="6" t="inlineStr">
        <is>
          <t>G14 Bảng cân đối trong model</t>
        </is>
      </c>
      <c r="B117" s="6" t="inlineStr">
        <is>
          <t>tổng TS FY26F 92,112 vs thực tế 30/06/26 73,734</t>
        </is>
      </c>
      <c r="C117" s="6" t="inlineStr">
        <is>
          <t>chưa lập lại</t>
        </is>
      </c>
      <c r="D117" s="6" t="inlineStr">
        <is>
          <t>GAP</t>
        </is>
      </c>
    </row>
    <row r="118">
      <c r="A118" s="6" t="inlineStr">
        <is>
          <t>G15 P/B, BVPS, VCSH, ROE trên slide</t>
        </is>
      </c>
      <c r="B118" s="6" t="inlineStr">
        <is>
          <t>dựa trên BS cũ — chưa tin cậy</t>
        </is>
      </c>
      <c r="C118" s="6" t="n"/>
      <c r="D118" s="6" t="inlineStr">
        <is>
          <t>GAP</t>
        </is>
      </c>
    </row>
    <row r="119">
      <c r="A119" s="6" t="inlineStr">
        <is>
          <t>G16 Số cổ phiếu</t>
        </is>
      </c>
      <c r="B119" s="6" t="inlineStr">
        <is>
          <t>FS: 1,703.5 triệu (EPS 1H26 2,967); model dùng 1,810 triệu</t>
        </is>
      </c>
      <c r="C119" s="6" t="inlineStr">
        <is>
          <t>GAP</t>
        </is>
      </c>
      <c r="D119" s="6" t="inlineStr">
        <is>
          <t>COMPANY</t>
        </is>
      </c>
    </row>
    <row r="120">
      <c r="A120" s="6" t="inlineStr">
        <is>
          <t>G17 Doanh thu FY26F</t>
        </is>
      </c>
      <c r="B120" s="6" t="inlineStr">
        <is>
          <t>model 57,195 giữ nguyên; 1H26 mới đạt 26,269 (45.9%)</t>
        </is>
      </c>
      <c r="C120" s="6" t="inlineStr">
        <is>
          <t>cần rà 2H</t>
        </is>
      </c>
      <c r="D120" s="6" t="inlineStr">
        <is>
          <t>GAP</t>
        </is>
      </c>
    </row>
    <row r="121">
      <c r="A121" s="6" t="inlineStr">
        <is>
          <t>G13 Model chưa recalc</t>
        </is>
      </c>
      <c r="B121" s="6" t="inlineStr">
        <is>
          <t>Excel chưa mở lại; đã bật fullCalcOnLoad</t>
        </is>
      </c>
      <c r="C121" s="6" t="n"/>
      <c r="D121" s="6" t="inlineStr">
        <is>
          <t>GAP</t>
        </is>
      </c>
    </row>
    <row r="123">
      <c r="A123" t="inlineStr">
        <is>
          <t>FPT — HẠ NHỊP DỰ PHÓNG: PHƯƠNG ÁN A "KHÔNG DÒNG NÀO TĂNG TỐC"</t>
        </is>
      </c>
      <c r="B123" s="5" t="n"/>
    </row>
    <row r="124">
      <c r="A124" s="6" t="inlineStr">
        <is>
          <t>Vấn đề được nêu</t>
        </is>
      </c>
      <c r="B124" s="6" t="inlineStr">
        <is>
          <t>vì sao FY28F (+16.4%) cao hơn FY27F (+15.7%)?</t>
        </is>
      </c>
      <c r="C124" s="6" t="n"/>
      <c r="D124" s="6" t="inlineStr">
        <is>
          <t>ANALYST</t>
        </is>
      </c>
    </row>
    <row r="125">
      <c r="A125" s="6" t="inlineStr">
        <is>
          <t>Phân tích nguyên nhân</t>
        </is>
      </c>
      <c r="B125" s="6" t="inlineStr">
        <is>
          <t>toàn bộ +0.75%p nằm ở LN hoạt động lõi (+218 tỷ)</t>
        </is>
      </c>
      <c r="C125" s="6" t="n"/>
      <c r="D125" s="6" t="inlineStr">
        <is>
          <t>DERIVED</t>
        </is>
      </c>
    </row>
    <row r="126">
      <c r="A126" s="6" t="inlineStr">
        <is>
          <t xml:space="preserve">  - do tỷ lệ CPBH+QL giảm 16bp</t>
        </is>
      </c>
      <c r="B126" s="6" t="inlineStr">
        <is>
          <t>17.657% -&gt; 17.496% — là dư âm hiệu chỉnh của tôi</t>
        </is>
      </c>
      <c r="C126" s="6" t="inlineStr">
        <is>
          <t>REJECTED</t>
        </is>
      </c>
      <c r="D126" s="6" t="inlineStr">
        <is>
          <t>MAS</t>
        </is>
      </c>
    </row>
    <row r="127">
      <c r="A127" s="6" t="inlineStr">
        <is>
          <t xml:space="preserve">  - do CNTT nước ngoài tăng tốc</t>
        </is>
      </c>
      <c r="B127" s="6" t="inlineStr">
        <is>
          <t>+16.7% -&gt; +17.7% — giả định có sẵn, không có lý do nêu</t>
        </is>
      </c>
      <c r="C127" s="6" t="inlineStr">
        <is>
          <t>REJECTED</t>
        </is>
      </c>
      <c r="D127" s="6" t="inlineStr">
        <is>
          <t>MODEL</t>
        </is>
      </c>
    </row>
    <row r="128">
      <c r="A128" s="6" t="inlineStr">
        <is>
          <t xml:space="preserve">  - bù trừ bởi LN tài chính chậm lại</t>
        </is>
      </c>
      <c r="B128" s="6" t="inlineStr">
        <is>
          <t>+28.6% -&gt; +17.0% (-124 tỷ)</t>
        </is>
      </c>
      <c r="C128" s="6" t="n"/>
      <c r="D128" s="6" t="inlineStr">
        <is>
          <t>DERIVED</t>
        </is>
      </c>
    </row>
    <row r="129">
      <c r="A129" t="inlineStr">
        <is>
          <t>Giả định phương án A</t>
        </is>
      </c>
      <c r="B129" s="5" t="inlineStr">
        <is>
          <t>FY26F</t>
        </is>
      </c>
      <c r="C129" t="inlineStr">
        <is>
          <t>FY27F</t>
        </is>
      </c>
      <c r="D129" t="inlineStr">
        <is>
          <t>FY28F</t>
        </is>
      </c>
    </row>
    <row r="130">
      <c r="A130" s="6" t="inlineStr">
        <is>
          <t>CNTT nước ngoài</t>
        </is>
      </c>
      <c r="B130" s="6" t="inlineStr">
        <is>
          <t>+14.67%</t>
        </is>
      </c>
      <c r="C130" s="6" t="inlineStr">
        <is>
          <t>+14.67%</t>
        </is>
      </c>
      <c r="D130" s="6" t="inlineStr">
        <is>
          <t>+14.67%</t>
        </is>
      </c>
    </row>
    <row r="131">
      <c r="A131" s="6" t="inlineStr">
        <is>
          <t xml:space="preserve">  (1H26 thực hiện +13.4%)</t>
        </is>
      </c>
      <c r="B131" s="6" t="n"/>
      <c r="C131" s="6" t="n"/>
      <c r="D131" s="6" t="inlineStr">
        <is>
          <t>COMPANY</t>
        </is>
      </c>
    </row>
    <row r="132">
      <c r="A132" s="6" t="inlineStr">
        <is>
          <t>CNTT trong nước</t>
        </is>
      </c>
      <c r="B132" s="6" t="inlineStr">
        <is>
          <t>+12%</t>
        </is>
      </c>
      <c r="C132" s="6" t="inlineStr">
        <is>
          <t>+12%</t>
        </is>
      </c>
      <c r="D132" s="6" t="inlineStr">
        <is>
          <t>+12%</t>
        </is>
      </c>
    </row>
    <row r="133">
      <c r="A133" s="6" t="inlineStr">
        <is>
          <t>Giáo dục, đầu tư &amp; khác</t>
        </is>
      </c>
      <c r="B133" s="6" t="inlineStr">
        <is>
          <t>+5%</t>
        </is>
      </c>
      <c r="C133" s="6" t="inlineStr">
        <is>
          <t>+5%</t>
        </is>
      </c>
      <c r="D133" s="6" t="inlineStr">
        <is>
          <t>+5%</t>
        </is>
      </c>
    </row>
    <row r="134">
      <c r="A134" s="6" t="inlineStr">
        <is>
          <t xml:space="preserve">  (model cũ: +12%/+12% dù 1H26 -2.1%)</t>
        </is>
      </c>
      <c r="B134" s="6" t="n"/>
      <c r="C134" s="6" t="n"/>
      <c r="D134" s="6" t="inlineStr">
        <is>
          <t>REJECTED</t>
        </is>
      </c>
    </row>
    <row r="135">
      <c r="A135" s="6" t="inlineStr">
        <is>
          <t>Biên lợi nhuận gộp</t>
        </is>
      </c>
      <c r="B135" s="6" t="inlineStr">
        <is>
          <t>32.448%</t>
        </is>
      </c>
      <c r="C135" s="6" t="inlineStr">
        <is>
          <t>32.448%</t>
        </is>
      </c>
      <c r="D135" s="6" t="inlineStr">
        <is>
          <t>32.448%</t>
        </is>
      </c>
    </row>
    <row r="136">
      <c r="A136" s="6" t="inlineStr">
        <is>
          <t>CPBH+QL / doanh thu</t>
        </is>
      </c>
      <c r="B136" s="6" t="inlineStr">
        <is>
          <t>17.631%</t>
        </is>
      </c>
      <c r="C136" s="6" t="inlineStr">
        <is>
          <t>17.631%</t>
        </is>
      </c>
      <c r="D136" s="6" t="inlineStr">
        <is>
          <t>17.631%</t>
        </is>
      </c>
    </row>
    <row r="137">
      <c r="A137" s="6" t="inlineStr">
        <is>
          <t xml:space="preserve">  (không còn đòn bẩy hoạt động)</t>
        </is>
      </c>
      <c r="B137" s="6" t="n"/>
      <c r="C137" s="6" t="n"/>
      <c r="D137" s="6" t="inlineStr">
        <is>
          <t>MAS</t>
        </is>
      </c>
    </row>
    <row r="138">
      <c r="A138" s="6" t="inlineStr">
        <is>
          <t>Công ty liên kết</t>
        </is>
      </c>
      <c r="B138" s="6" t="inlineStr">
        <is>
          <t>+14%</t>
        </is>
      </c>
      <c r="C138" s="6" t="inlineStr">
        <is>
          <t>+14%</t>
        </is>
      </c>
      <c r="D138" s="6" t="inlineStr">
        <is>
          <t>+14%</t>
        </is>
      </c>
    </row>
    <row r="139">
      <c r="A139" s="6" t="inlineStr">
        <is>
          <t>Thuế suất ngoài phần liên kết</t>
        </is>
      </c>
      <c r="B139" s="6" t="inlineStr">
        <is>
          <t>15.55%</t>
        </is>
      </c>
      <c r="C139" s="6" t="inlineStr">
        <is>
          <t>15.55%</t>
        </is>
      </c>
      <c r="D139" s="6" t="inlineStr">
        <is>
          <t>15.55%</t>
        </is>
      </c>
    </row>
    <row r="140">
      <c r="A140" t="inlineStr">
        <is>
          <t>Kết quả</t>
        </is>
      </c>
      <c r="B140" s="5" t="inlineStr">
        <is>
          <t>FY26F</t>
        </is>
      </c>
      <c r="C140" t="inlineStr">
        <is>
          <t>FY27F</t>
        </is>
      </c>
      <c r="D140" t="inlineStr">
        <is>
          <t>FY28F</t>
        </is>
      </c>
    </row>
    <row r="141">
      <c r="A141" s="6" t="inlineStr">
        <is>
          <t>Doanh thu (tỷ đồng)</t>
        </is>
      </c>
      <c r="B141" s="6" t="inlineStr">
        <is>
          <t>57,195</t>
        </is>
      </c>
      <c r="C141" s="6" t="inlineStr">
        <is>
          <t>64,690</t>
        </is>
      </c>
      <c r="D141" s="6" t="inlineStr">
        <is>
          <t>73,221</t>
        </is>
      </c>
    </row>
    <row r="142">
      <c r="A142" s="6" t="inlineStr">
        <is>
          <t>LN hoạt động</t>
        </is>
      </c>
      <c r="B142" s="6" t="inlineStr">
        <is>
          <t>8,475</t>
        </is>
      </c>
      <c r="C142" s="6" t="inlineStr">
        <is>
          <t>9,585</t>
        </is>
      </c>
      <c r="D142" s="6" t="inlineStr">
        <is>
          <t>10,849</t>
        </is>
      </c>
    </row>
    <row r="143">
      <c r="A143" s="6" t="inlineStr">
        <is>
          <t>LNTT</t>
        </is>
      </c>
      <c r="B143" s="6" t="inlineStr">
        <is>
          <t>12,321</t>
        </is>
      </c>
      <c r="C143" s="6" t="inlineStr">
        <is>
          <t>14,090</t>
        </is>
      </c>
      <c r="D143" s="6" t="inlineStr">
        <is>
          <t>16,015</t>
        </is>
      </c>
    </row>
    <row r="144">
      <c r="A144" s="6" t="inlineStr">
        <is>
          <t>LNST-CĐTS</t>
        </is>
      </c>
      <c r="B144" s="6" t="inlineStr">
        <is>
          <t>10,848</t>
        </is>
      </c>
      <c r="C144" s="6" t="inlineStr">
        <is>
          <t>12,403</t>
        </is>
      </c>
      <c r="D144" s="6" t="inlineStr">
        <is>
          <t>14,100</t>
        </is>
      </c>
    </row>
    <row r="145">
      <c r="A145" s="6" t="inlineStr">
        <is>
          <t>Tăng trưởng</t>
        </is>
      </c>
      <c r="B145" s="6" t="inlineStr">
        <is>
          <t>+14.6%</t>
        </is>
      </c>
      <c r="C145" s="6" t="inlineStr">
        <is>
          <t>+14.3%</t>
        </is>
      </c>
      <c r="D145" s="6" t="inlineStr">
        <is>
          <t>+13.7%</t>
        </is>
      </c>
    </row>
    <row r="146">
      <c r="A146" s="6" t="inlineStr">
        <is>
          <t>EPS (1,810 triệu cp)</t>
        </is>
      </c>
      <c r="B146" s="6" t="inlineStr">
        <is>
          <t>5,993</t>
        </is>
      </c>
      <c r="C146" s="6" t="inlineStr">
        <is>
          <t>6,853</t>
        </is>
      </c>
      <c r="D146" s="6" t="inlineStr">
        <is>
          <t>7,790</t>
        </is>
      </c>
    </row>
    <row r="147">
      <c r="A147" s="6" t="inlineStr">
        <is>
          <t>P/E tại GMT 78,750</t>
        </is>
      </c>
      <c r="B147" s="6" t="inlineStr">
        <is>
          <t>13.1</t>
        </is>
      </c>
      <c r="C147" s="6" t="inlineStr">
        <is>
          <t>11.5</t>
        </is>
      </c>
      <c r="D147" s="6" t="inlineStr">
        <is>
          <t>10.1</t>
        </is>
      </c>
    </row>
    <row r="148">
      <c r="A148" s="6" t="inlineStr">
        <is>
          <t>Đã cân nhắc nhưng không chọn</t>
        </is>
      </c>
      <c r="B148" s="6" t="inlineStr">
        <is>
          <t>B: +14.6/13.5/11.8 · C: +14.6/12.1/10.2 · giữ nguyên: +14.6/15.8/15.6</t>
        </is>
      </c>
      <c r="C148" s="6" t="n"/>
      <c r="D148" s="6" t="inlineStr">
        <is>
          <t>ANALYST</t>
        </is>
      </c>
    </row>
    <row r="149">
      <c r="A149" s="6" t="inlineStr">
        <is>
          <t>Lý do chọn A</t>
        </is>
      </c>
      <c r="B149" s="6" t="inlineStr">
        <is>
          <t>mọi giả định giữ nguyên mức FY26F — không cải thiện, không xấu đi</t>
        </is>
      </c>
      <c r="C149" s="6" t="n"/>
      <c r="D149" s="6" t="inlineStr">
        <is>
          <t>ANALYST</t>
        </is>
      </c>
    </row>
    <row r="150">
      <c r="A150" s="6" t="inlineStr">
        <is>
          <t>Vì sao vẫn giảm dần</t>
        </is>
      </c>
      <c r="B150" s="6" t="inlineStr">
        <is>
          <t>LN liên kết (+14%) và LN tài chính tăng chậm hơn nền doanh thu</t>
        </is>
      </c>
      <c r="C150" s="6" t="n"/>
      <c r="D150" s="6" t="inlineStr">
        <is>
          <t>DERIVED</t>
        </is>
      </c>
    </row>
    <row r="151">
      <c r="A151" s="6" t="inlineStr">
        <is>
          <t>Ô đã sửa</t>
        </is>
      </c>
      <c r="B151" s="6" t="inlineStr">
        <is>
          <t>Scenarios I11/J11, I30/J30, I45/J45; PL R19/S19, R20/S20, R42/S42, R43/S43</t>
        </is>
      </c>
      <c r="C151" s="6" t="n"/>
      <c r="D151" s="6" t="inlineStr">
        <is>
          <t>MAS</t>
        </is>
      </c>
    </row>
    <row r="152">
      <c r="A152" s="6" t="inlineStr">
        <is>
          <t>Kiểm tra tự động</t>
        </is>
      </c>
      <c r="B152" s="6" t="inlineStr">
        <is>
          <t>verify_model.py 15/15 + check_fpt.py 47/47 đạt</t>
        </is>
      </c>
      <c r="C152" s="6" t="n"/>
      <c r="D152" s="6" t="inlineStr">
        <is>
          <t>CHECK</t>
        </is>
      </c>
    </row>
    <row r="153">
      <c r="A153" s="6" t="inlineStr">
        <is>
          <t>Doanh thu tăng 13.1% -&gt; 13.2%</t>
        </is>
      </c>
      <c r="B153" s="6" t="inlineStr">
        <is>
          <t>chỉ do cơ cấu (CNTT nước ngoài tỷ trọng lớn dần), không phải giả định</t>
        </is>
      </c>
      <c r="C153" s="6" t="n"/>
      <c r="D153" s="6" t="inlineStr">
        <is>
          <t>CHECK</t>
        </is>
      </c>
    </row>
    <row r="155">
      <c r="A155" t="inlineStr">
        <is>
          <t>FPT — LỘ TRÌNH +14.6% / +15.2% / +15.7% (chỉ đạo của analyst)</t>
        </is>
      </c>
      <c r="B155" s="5" t="n"/>
    </row>
    <row r="156">
      <c r="A156" s="6" t="inlineStr">
        <is>
          <t>Yêu cầu</t>
        </is>
      </c>
      <c r="B156" s="6" t="inlineStr">
        <is>
          <t>LNST-CĐTS FY26/27/28 tăng +14.6% / +15.2% / +15.7%</t>
        </is>
      </c>
      <c r="C156" s="6" t="n"/>
      <c r="D156" s="6" t="inlineStr">
        <is>
          <t>ANALYST</t>
        </is>
      </c>
    </row>
    <row r="157">
      <c r="A157" s="6" t="inlineStr">
        <is>
          <t>Lưu ý đã nêu</t>
        </is>
      </c>
      <c r="B157" s="6" t="inlineStr">
        <is>
          <t>lộ trình này tăng tốc trở lại — đúng hình dạng đã cảnh báo ở vòng trước</t>
        </is>
      </c>
      <c r="C157" s="6" t="n"/>
      <c r="D157" s="6" t="inlineStr">
        <is>
          <t>MAS</t>
        </is>
      </c>
    </row>
    <row r="158">
      <c r="A158" s="6" t="inlineStr">
        <is>
          <t>Nguyên tắc khi thực hiện</t>
        </is>
      </c>
      <c r="B158" s="6" t="inlineStr">
        <is>
          <t>KHÔNG nhét chênh lệch vào dòng SG&amp;A; phải có giả định cụ thể gánh</t>
        </is>
      </c>
      <c r="C158" s="6" t="n"/>
      <c r="D158" s="6" t="inlineStr">
        <is>
          <t>MAS</t>
        </is>
      </c>
    </row>
    <row r="159">
      <c r="A159" t="inlineStr">
        <is>
          <t>Cần gì để đạt (đã thử từng phương án)</t>
        </is>
      </c>
      <c r="B159" s="5" t="inlineStr">
        <is>
          <t>FY27F</t>
        </is>
      </c>
      <c r="C159" t="inlineStr">
        <is>
          <t>FY28F</t>
        </is>
      </c>
    </row>
    <row r="160">
      <c r="A160" s="6" t="inlineStr">
        <is>
          <t>Chỉ dùng CNTT nước ngoài (LK +14%, SG&amp;A phẳng)</t>
        </is>
      </c>
      <c r="B160" s="6" t="inlineStr">
        <is>
          <t>+16.5%</t>
        </is>
      </c>
      <c r="C160" s="6" t="inlineStr">
        <is>
          <t>+18.9%</t>
        </is>
      </c>
      <c r="D160" s="6" t="inlineStr">
        <is>
          <t>REJECTED — quá cao</t>
        </is>
      </c>
    </row>
    <row r="161">
      <c r="A161" s="6" t="inlineStr">
        <is>
          <t>Thêm LK lên +16%</t>
        </is>
      </c>
      <c r="B161" s="6" t="inlineStr">
        <is>
          <t>+15.4%</t>
        </is>
      </c>
      <c r="C161" s="6" t="inlineStr">
        <is>
          <t>+17.9%</t>
        </is>
      </c>
      <c r="D161" s="6" t="inlineStr">
        <is>
          <t>REJECTED</t>
        </is>
      </c>
    </row>
    <row r="162">
      <c r="A162" s="6" t="inlineStr">
        <is>
          <t>Thêm LK lên +18%</t>
        </is>
      </c>
      <c r="B162" s="6" t="inlineStr">
        <is>
          <t>+14.2%</t>
        </is>
      </c>
      <c r="C162" s="6" t="inlineStr">
        <is>
          <t>+16.7%</t>
        </is>
      </c>
      <c r="D162" s="6" t="inlineStr">
        <is>
          <t>REJECTED — LK +18% không có căn cứ</t>
        </is>
      </c>
    </row>
    <row r="163">
      <c r="A163" s="6" t="inlineStr">
        <is>
          <t>Chỉ dùng đòn bẩy SG&amp;A</t>
        </is>
      </c>
      <c r="B163" s="6" t="inlineStr">
        <is>
          <t>17.461%</t>
        </is>
      </c>
      <c r="C163" s="6" t="inlineStr">
        <is>
          <t>17.050%</t>
        </is>
      </c>
      <c r="D163" s="6" t="inlineStr">
        <is>
          <t>REJECTED — nén 58bp, chính là lỗi cũ</t>
        </is>
      </c>
    </row>
    <row r="164">
      <c r="A164" s="6" t="inlineStr">
        <is>
          <t>ĐÃ CHỌN — chia đều 3 đòn bẩy</t>
        </is>
      </c>
      <c r="B164" s="6" t="n"/>
      <c r="C164" s="6" t="n"/>
      <c r="D164" s="6" t="inlineStr">
        <is>
          <t>MAS</t>
        </is>
      </c>
    </row>
    <row r="165">
      <c r="A165" t="inlineStr">
        <is>
          <t>Giả định cuối cùng</t>
        </is>
      </c>
      <c r="B165" s="5" t="inlineStr">
        <is>
          <t>FY26F</t>
        </is>
      </c>
      <c r="C165" t="inlineStr">
        <is>
          <t>FY27F</t>
        </is>
      </c>
      <c r="D165" t="inlineStr">
        <is>
          <t>FY28F</t>
        </is>
      </c>
    </row>
    <row r="166">
      <c r="A166" s="6" t="inlineStr">
        <is>
          <t>CNTT nước ngoài</t>
        </is>
      </c>
      <c r="B166" s="6" t="inlineStr">
        <is>
          <t>+14.67%</t>
        </is>
      </c>
      <c r="C166" s="6" t="inlineStr">
        <is>
          <t>+15.5%</t>
        </is>
      </c>
      <c r="D166" s="6" t="inlineStr">
        <is>
          <t>+16.0%</t>
        </is>
      </c>
    </row>
    <row r="167">
      <c r="A167" s="6" t="inlineStr">
        <is>
          <t xml:space="preserve">  (1H26 thực hiện +13.4%; model gốc +16.7%/+17.7%)</t>
        </is>
      </c>
      <c r="B167" s="6" t="n"/>
      <c r="C167" s="6" t="n"/>
      <c r="D167" s="6" t="inlineStr">
        <is>
          <t>COMPANY</t>
        </is>
      </c>
    </row>
    <row r="168">
      <c r="A168" s="6" t="inlineStr">
        <is>
          <t>CNTT trong nước</t>
        </is>
      </c>
      <c r="B168" s="6" t="inlineStr">
        <is>
          <t>+12%</t>
        </is>
      </c>
      <c r="C168" s="6" t="inlineStr">
        <is>
          <t>+12%</t>
        </is>
      </c>
      <c r="D168" s="6" t="inlineStr">
        <is>
          <t>+12%</t>
        </is>
      </c>
    </row>
    <row r="169">
      <c r="A169" s="6" t="inlineStr">
        <is>
          <t>Giáo dục, đầu tư &amp; khác</t>
        </is>
      </c>
      <c r="B169" s="6" t="inlineStr">
        <is>
          <t>+5%</t>
        </is>
      </c>
      <c r="C169" s="6" t="inlineStr">
        <is>
          <t>+5%</t>
        </is>
      </c>
      <c r="D169" s="6" t="inlineStr">
        <is>
          <t>+5%</t>
        </is>
      </c>
    </row>
    <row r="170">
      <c r="A170" s="6" t="inlineStr">
        <is>
          <t>Công ty liên kết</t>
        </is>
      </c>
      <c r="B170" s="6" t="inlineStr">
        <is>
          <t>+14%</t>
        </is>
      </c>
      <c r="C170" s="6" t="inlineStr">
        <is>
          <t>+16%</t>
        </is>
      </c>
      <c r="D170" s="6" t="inlineStr">
        <is>
          <t>+16%</t>
        </is>
      </c>
    </row>
    <row r="171">
      <c r="A171" s="6" t="inlineStr">
        <is>
          <t xml:space="preserve">  (FOX 1H26 +13.9%; FRT/Long Chau tăng nhanh hơn)</t>
        </is>
      </c>
      <c r="B171" s="6" t="n"/>
      <c r="C171" s="6" t="n"/>
      <c r="D171" s="6" t="inlineStr">
        <is>
          <t>ANALYST</t>
        </is>
      </c>
    </row>
    <row r="172">
      <c r="A172" s="6" t="inlineStr">
        <is>
          <t>Biên lợi nhuận gộp</t>
        </is>
      </c>
      <c r="B172" s="6" t="inlineStr">
        <is>
          <t>32.448%</t>
        </is>
      </c>
      <c r="C172" s="6" t="inlineStr">
        <is>
          <t>32.448%</t>
        </is>
      </c>
      <c r="D172" s="6" t="inlineStr">
        <is>
          <t>32.448%</t>
        </is>
      </c>
    </row>
    <row r="173">
      <c r="A173" s="6" t="inlineStr">
        <is>
          <t>CPBH+QL / doanh thu</t>
        </is>
      </c>
      <c r="B173" s="6" t="inlineStr">
        <is>
          <t>17.631%</t>
        </is>
      </c>
      <c r="C173" s="6" t="inlineStr">
        <is>
          <t>17.644%</t>
        </is>
      </c>
      <c r="D173" s="6" t="inlineStr">
        <is>
          <t>17.472%</t>
        </is>
      </c>
    </row>
    <row r="174">
      <c r="A174" s="6" t="inlineStr">
        <is>
          <t xml:space="preserve">  (biên độ 16bp quanh mức 1H26 — không phải đòn bẩy)</t>
        </is>
      </c>
      <c r="B174" s="6" t="n"/>
      <c r="C174" s="6" t="n"/>
      <c r="D174" s="6" t="inlineStr">
        <is>
          <t>CHECK</t>
        </is>
      </c>
    </row>
    <row r="175">
      <c r="A175" s="6" t="inlineStr">
        <is>
          <t>Thuế ngoài phần liên kết</t>
        </is>
      </c>
      <c r="B175" s="6" t="inlineStr">
        <is>
          <t>15.55%</t>
        </is>
      </c>
      <c r="C175" s="6" t="inlineStr">
        <is>
          <t>15.55%</t>
        </is>
      </c>
      <c r="D175" s="6" t="inlineStr">
        <is>
          <t>15.55%</t>
        </is>
      </c>
    </row>
    <row r="176">
      <c r="A176" t="inlineStr">
        <is>
          <t>Kết quả</t>
        </is>
      </c>
      <c r="B176" s="5" t="inlineStr">
        <is>
          <t>FY26F</t>
        </is>
      </c>
      <c r="C176" t="inlineStr">
        <is>
          <t>FY27F</t>
        </is>
      </c>
      <c r="D176" t="inlineStr">
        <is>
          <t>FY28F</t>
        </is>
      </c>
    </row>
    <row r="177">
      <c r="A177" s="6" t="inlineStr">
        <is>
          <t>Doanh thu (tỷ đồng)</t>
        </is>
      </c>
      <c r="B177" s="6" t="inlineStr">
        <is>
          <t>57,195</t>
        </is>
      </c>
      <c r="C177" s="6" t="inlineStr">
        <is>
          <t>65,027</t>
        </is>
      </c>
      <c r="D177" s="6" t="inlineStr">
        <is>
          <t>74,232</t>
        </is>
      </c>
    </row>
    <row r="178">
      <c r="A178" s="6" t="inlineStr">
        <is>
          <t xml:space="preserve">  tăng trưởng</t>
        </is>
      </c>
      <c r="B178" s="6" t="inlineStr">
        <is>
          <t>—</t>
        </is>
      </c>
      <c r="C178" s="6" t="inlineStr">
        <is>
          <t>+13.7%</t>
        </is>
      </c>
      <c r="D178" s="6" t="inlineStr">
        <is>
          <t>+14.2%</t>
        </is>
      </c>
    </row>
    <row r="179">
      <c r="A179" s="6" t="inlineStr">
        <is>
          <t>LN hoạt động</t>
        </is>
      </c>
      <c r="B179" s="6" t="inlineStr">
        <is>
          <t>8,475</t>
        </is>
      </c>
      <c r="C179" s="6" t="inlineStr">
        <is>
          <t>9,626</t>
        </is>
      </c>
      <c r="D179" s="6" t="inlineStr">
        <is>
          <t>11,117</t>
        </is>
      </c>
    </row>
    <row r="180">
      <c r="A180" s="6" t="inlineStr">
        <is>
          <t>LN từ công ty liên kết</t>
        </is>
      </c>
      <c r="B180" s="6" t="inlineStr">
        <is>
          <t>2,847</t>
        </is>
      </c>
      <c r="C180" s="6" t="inlineStr">
        <is>
          <t>3,302</t>
        </is>
      </c>
      <c r="D180" s="6" t="inlineStr">
        <is>
          <t>3,831</t>
        </is>
      </c>
    </row>
    <row r="181">
      <c r="A181" s="6" t="inlineStr">
        <is>
          <t>Lãi tài chính thuần</t>
        </is>
      </c>
      <c r="B181" s="6" t="inlineStr">
        <is>
          <t>830</t>
        </is>
      </c>
      <c r="C181" s="6" t="inlineStr">
        <is>
          <t>1,068</t>
        </is>
      </c>
      <c r="D181" s="6" t="inlineStr">
        <is>
          <t>1,248</t>
        </is>
      </c>
    </row>
    <row r="182">
      <c r="A182" s="6" t="inlineStr">
        <is>
          <t>LNTT</t>
        </is>
      </c>
      <c r="B182" s="6" t="inlineStr">
        <is>
          <t>12,321</t>
        </is>
      </c>
      <c r="C182" s="6" t="inlineStr">
        <is>
          <t>14,189</t>
        </is>
      </c>
      <c r="D182" s="6" t="inlineStr">
        <is>
          <t>16,416</t>
        </is>
      </c>
    </row>
    <row r="183">
      <c r="A183" s="6" t="inlineStr">
        <is>
          <t>LNST-CĐTS</t>
        </is>
      </c>
      <c r="B183" s="6" t="inlineStr">
        <is>
          <t>10,848</t>
        </is>
      </c>
      <c r="C183" s="6" t="inlineStr">
        <is>
          <t>12,497</t>
        </is>
      </c>
      <c r="D183" s="6" t="inlineStr">
        <is>
          <t>14,459</t>
        </is>
      </c>
    </row>
    <row r="184">
      <c r="A184" s="6" t="inlineStr">
        <is>
          <t>Tăng trưởng</t>
        </is>
      </c>
      <c r="B184" s="6" t="inlineStr">
        <is>
          <t>+14.6%</t>
        </is>
      </c>
      <c r="C184" s="6" t="inlineStr">
        <is>
          <t>+15.2%</t>
        </is>
      </c>
      <c r="D184" s="6" t="inlineStr">
        <is>
          <t>+15.7%</t>
        </is>
      </c>
    </row>
    <row r="185">
      <c r="A185" s="6" t="inlineStr">
        <is>
          <t>EPS (1,810 triệu cp)</t>
        </is>
      </c>
      <c r="B185" s="6" t="inlineStr">
        <is>
          <t>5,993</t>
        </is>
      </c>
      <c r="C185" s="6" t="inlineStr">
        <is>
          <t>6,904</t>
        </is>
      </c>
      <c r="D185" s="6" t="inlineStr">
        <is>
          <t>7,988</t>
        </is>
      </c>
    </row>
    <row r="186">
      <c r="A186" s="6" t="inlineStr">
        <is>
          <t>P/E tại GMT 78,750</t>
        </is>
      </c>
      <c r="B186" s="6" t="inlineStr">
        <is>
          <t>13.1</t>
        </is>
      </c>
      <c r="C186" s="6" t="inlineStr">
        <is>
          <t>11.4</t>
        </is>
      </c>
      <c r="D186" s="6" t="inlineStr">
        <is>
          <t>9.9</t>
        </is>
      </c>
    </row>
    <row r="187">
      <c r="A187" s="6" t="inlineStr">
        <is>
          <t>Ô đã sửa</t>
        </is>
      </c>
      <c r="B187" s="6" t="inlineStr">
        <is>
          <t>Scenarios I11/J11, I45/J45; PL R19/S19, R20/S20, R42/S42</t>
        </is>
      </c>
      <c r="C187" s="6" t="n"/>
      <c r="D187" s="6" t="inlineStr">
        <is>
          <t>MAS</t>
        </is>
      </c>
    </row>
    <row r="188">
      <c r="A188" s="6" t="inlineStr">
        <is>
          <t>Kiểm tra tự động</t>
        </is>
      </c>
      <c r="B188" s="6" t="inlineStr">
        <is>
          <t>verify_model.py 14/14 + check_fpt.py 49/49 đạt</t>
        </is>
      </c>
      <c r="C188" s="6" t="n"/>
      <c r="D188" s="6" t="inlineStr">
        <is>
          <t>CHECK</t>
        </is>
      </c>
    </row>
    <row r="189">
      <c r="A189" t="inlineStr">
        <is>
          <t>RỦI RO CỦA LỘ TRÌNH NÀY — cần chuẩn bị khi bị hỏi</t>
        </is>
      </c>
      <c r="B189" s="5" t="n"/>
    </row>
    <row r="190">
      <c r="A190" s="6" t="inlineStr">
        <is>
          <t>R1 CNTT nước ngoài</t>
        </is>
      </c>
      <c r="B190" s="6" t="inlineStr">
        <is>
          <t>+16.0% FY28F so với +13.4% thực hiện 1H26 — cần dữ liệu backlog</t>
        </is>
      </c>
      <c r="C190" s="6" t="inlineStr">
        <is>
          <t>GAP</t>
        </is>
      </c>
      <c r="D190" s="6" t="inlineStr">
        <is>
          <t>ANALYST</t>
        </is>
      </c>
    </row>
    <row r="191">
      <c r="A191" s="6" t="inlineStr">
        <is>
          <t>R2 Liên kết +16%</t>
        </is>
      </c>
      <c r="B191" s="6" t="inlineStr">
        <is>
          <t>cao hơn FOX (+13.9%); phụ thuộc FRT — chưa có BCTC FRT để đối chiếu</t>
        </is>
      </c>
      <c r="C191" s="6" t="inlineStr">
        <is>
          <t>GAP</t>
        </is>
      </c>
      <c r="D191" s="6" t="inlineStr">
        <is>
          <t>ANALYST</t>
        </is>
      </c>
    </row>
    <row r="192">
      <c r="A192" s="6" t="inlineStr">
        <is>
          <t>R3 Giá mục tiêu</t>
        </is>
      </c>
      <c r="B192" s="6" t="inlineStr">
        <is>
          <t>78,750 chưa chạy lại DCF theo lộ trình mới</t>
        </is>
      </c>
      <c r="C192" s="6" t="inlineStr">
        <is>
          <t>GAP</t>
        </is>
      </c>
      <c r="D192" s="6" t="inlineStr">
        <is>
          <t>MAS</t>
        </is>
      </c>
    </row>
    <row r="193">
      <c r="A193" s="6" t="inlineStr">
        <is>
          <t>R4 Bảng cân đối</t>
        </is>
      </c>
      <c r="B193" s="6" t="inlineStr">
        <is>
          <t>vẫn chưa lập lại sau thôi hợp nhất (xem mục G14-G15)</t>
        </is>
      </c>
      <c r="C193" s="6" t="inlineStr">
        <is>
          <t>GAP</t>
        </is>
      </c>
      <c r="D193" s="6" t="inlineStr">
        <is>
          <t>MAS</t>
        </is>
      </c>
    </row>
    <row r="195">
      <c r="A195" t="inlineStr">
        <is>
          <t>FPT — DOANH THU KÝ MỚI: BẰNG CHỨNG CHO GIẢ ĐỊNH CNTT NƯỚC NGOÀI</t>
        </is>
      </c>
      <c r="B195" s="5" t="n"/>
    </row>
    <row r="196">
      <c r="A196" t="inlineStr">
        <is>
          <t>Năm</t>
        </is>
      </c>
      <c r="B196" s="5" t="inlineStr">
        <is>
          <t>Ký mới (tỷ đ)</t>
        </is>
      </c>
      <c r="C196" t="inlineStr">
        <is>
          <t>Doanh thu (tỷ đ)</t>
        </is>
      </c>
      <c r="D196" t="inlineStr">
        <is>
          <t>Ký mới/DT · tích lũy</t>
        </is>
      </c>
    </row>
    <row r="197">
      <c r="A197" s="6" t="inlineStr">
        <is>
          <t>2021</t>
        </is>
      </c>
      <c r="B197" s="6" t="inlineStr">
        <is>
          <t>15,540</t>
        </is>
      </c>
      <c r="C197" s="6" t="inlineStr">
        <is>
          <t>14,540</t>
        </is>
      </c>
      <c r="D197" s="6" t="inlineStr">
        <is>
          <t>1.069 · +1,000</t>
        </is>
      </c>
    </row>
    <row r="198">
      <c r="A198" s="6" t="inlineStr">
        <is>
          <t>2022</t>
        </is>
      </c>
      <c r="B198" s="6" t="inlineStr">
        <is>
          <t>21,590 (+38.9%)</t>
        </is>
      </c>
      <c r="C198" s="6" t="inlineStr">
        <is>
          <t>18,920 (+30.1%)</t>
        </is>
      </c>
      <c r="D198" s="6" t="inlineStr">
        <is>
          <t>1.141 · +2,670</t>
        </is>
      </c>
    </row>
    <row r="199">
      <c r="A199" s="6" t="inlineStr">
        <is>
          <t>2023</t>
        </is>
      </c>
      <c r="B199" s="6" t="inlineStr">
        <is>
          <t>29,720 (+37.7%)</t>
        </is>
      </c>
      <c r="C199" s="6" t="inlineStr">
        <is>
          <t>24,290 (+28.4%)</t>
        </is>
      </c>
      <c r="D199" s="6" t="inlineStr">
        <is>
          <t>1.224 · +5,430</t>
        </is>
      </c>
    </row>
    <row r="200">
      <c r="A200" s="6" t="inlineStr">
        <is>
          <t>2024</t>
        </is>
      </c>
      <c r="B200" s="6" t="inlineStr">
        <is>
          <t>33,590 (+13.0%)</t>
        </is>
      </c>
      <c r="C200" s="6" t="inlineStr">
        <is>
          <t>30,950 (+27.4%)</t>
        </is>
      </c>
      <c r="D200" s="6" t="inlineStr">
        <is>
          <t>1.085 · +2,640</t>
        </is>
      </c>
    </row>
    <row r="201">
      <c r="A201" s="6" t="inlineStr">
        <is>
          <t>2025</t>
        </is>
      </c>
      <c r="B201" s="6" t="inlineStr">
        <is>
          <t>40,640 (+21.0%)</t>
        </is>
      </c>
      <c r="C201" s="6" t="inlineStr">
        <is>
          <t>35,382 (+14.3%)</t>
        </is>
      </c>
      <c r="D201" s="6" t="inlineStr">
        <is>
          <t>1.149 · +5,258</t>
        </is>
      </c>
    </row>
    <row r="202">
      <c r="A202" s="6" t="inlineStr">
        <is>
          <t>1H25</t>
        </is>
      </c>
      <c r="B202" s="6" t="inlineStr">
        <is>
          <t>19,908</t>
        </is>
      </c>
      <c r="C202" s="6" t="inlineStr">
        <is>
          <t>16,668</t>
        </is>
      </c>
      <c r="D202" s="6" t="inlineStr">
        <is>
          <t>1.194 · +3,239</t>
        </is>
      </c>
    </row>
    <row r="203">
      <c r="A203" s="6" t="inlineStr">
        <is>
          <t>1H26</t>
        </is>
      </c>
      <c r="B203" s="6" t="inlineStr">
        <is>
          <t>26,338 (+32.3%)</t>
        </is>
      </c>
      <c r="C203" s="6" t="inlineStr">
        <is>
          <t>18,902 (+13.4%)</t>
        </is>
      </c>
      <c r="D203" s="6" t="inlineStr">
        <is>
          <t>1.393 · +7,436</t>
        </is>
      </c>
    </row>
    <row r="204">
      <c r="A204" s="6" t="inlineStr">
        <is>
          <t>Nguồn 2021-2025</t>
        </is>
      </c>
      <c r="B204" s="6" t="inlineStr">
        <is>
          <t>model Revenue!253-254 (dữ liệu MAS)</t>
        </is>
      </c>
      <c r="C204" s="6" t="n"/>
      <c r="D204" s="6" t="inlineStr">
        <is>
          <t>MODEL</t>
        </is>
      </c>
    </row>
    <row r="205">
      <c r="A205" s="6" t="inlineStr">
        <is>
          <t>Nguồn 1H26</t>
        </is>
      </c>
      <c r="B205" s="6" t="inlineStr">
        <is>
          <t>thông cáo FPT 16/07/2026 (CafeF, Mekong ASEAN, TNCK, Tuổi Trẻ)</t>
        </is>
      </c>
      <c r="C205" s="6" t="n"/>
      <c r="D205" s="6" t="inlineStr">
        <is>
          <t>PRESS</t>
        </is>
      </c>
    </row>
    <row r="206">
      <c r="A206" s="6" t="inlineStr">
        <is>
          <t>Đối chiếu chéo</t>
        </is>
      </c>
      <c r="B206" s="6" t="inlineStr">
        <is>
          <t>model có 4T26: 19,980 (+30.0%) — cùng quỹ đạo, chỉ cũ 2 tháng</t>
        </is>
      </c>
      <c r="C206" s="6" t="inlineStr">
        <is>
          <t>đạt</t>
        </is>
      </c>
      <c r="D206" s="6" t="inlineStr">
        <is>
          <t>CHECK</t>
        </is>
      </c>
    </row>
    <row r="207">
      <c r="A207" t="inlineStr">
        <is>
          <t>PHÁT HIỆN</t>
        </is>
      </c>
      <c r="B207" s="5" t="n"/>
    </row>
    <row r="208">
      <c r="A208" s="6" t="inlineStr">
        <is>
          <t>Ký mới đang tăng tốc</t>
        </is>
      </c>
      <c r="B208" s="6" t="inlineStr">
        <is>
          <t>+13.0% FY24 -&gt; +21.0% FY25 -&gt; +32.3% 1H26</t>
        </is>
      </c>
      <c r="C208" s="6" t="n"/>
      <c r="D208" s="6" t="inlineStr">
        <is>
          <t>DERIVED</t>
        </is>
      </c>
    </row>
    <row r="209">
      <c r="A209" s="6" t="inlineStr">
        <is>
          <t>Doanh thu đang giảm tốc</t>
        </is>
      </c>
      <c r="B209" s="6" t="inlineStr">
        <is>
          <t>+27.4% FY24 -&gt; +14.3% FY25 -&gt; +13.4% 1H26</t>
        </is>
      </c>
      <c r="C209" s="6" t="n"/>
      <c r="D209" s="6" t="inlineStr">
        <is>
          <t>DERIVED</t>
        </is>
      </c>
    </row>
    <row r="210">
      <c r="A210" s="6" t="inlineStr">
        <is>
          <t>Tỷ lệ ký mới/doanh thu 1H26</t>
        </is>
      </c>
      <c r="B210" s="6" t="inlineStr">
        <is>
          <t>1.39 lần — cao nhất chuỗi (FY21-25: 1.07-1.22)</t>
        </is>
      </c>
      <c r="C210" s="6" t="n"/>
      <c r="D210" s="6" t="inlineStr">
        <is>
          <t>DERIVED</t>
        </is>
      </c>
    </row>
    <row r="211">
      <c r="A211" s="6" t="inlineStr">
        <is>
          <t>Tích lũy nửa năm</t>
        </is>
      </c>
      <c r="B211" s="6" t="inlineStr">
        <is>
          <t>+7,436 tỷ, cao hơn cả năm FY25 (+5,258)</t>
        </is>
      </c>
      <c r="C211" s="6" t="n"/>
      <c r="D211" s="6" t="inlineStr">
        <is>
          <t>DERIVED</t>
        </is>
      </c>
    </row>
    <row r="212">
      <c r="A212" s="6" t="inlineStr">
        <is>
          <t>Dự án lớn</t>
        </is>
      </c>
      <c r="B212" s="6" t="inlineStr">
        <is>
          <t>14 dự án trên 10 triệu USD trong 1H26, +27.3% CK</t>
        </is>
      </c>
      <c r="C212" s="6" t="n"/>
      <c r="D212" s="6" t="inlineStr">
        <is>
          <t>PRESS</t>
        </is>
      </c>
    </row>
    <row r="213">
      <c r="A213" s="6" t="inlineStr">
        <is>
          <t>KẾT LUẬN</t>
        </is>
      </c>
      <c r="B213" s="6" t="inlineStr">
        <is>
          <t>giả định CNTT nước ngoài +15.5%/+16.0% có cơ sở dẫn chứng, không còn là khẳng định suông</t>
        </is>
      </c>
      <c r="C213" s="6" t="n"/>
      <c r="D213" s="6" t="inlineStr">
        <is>
          <t>ANALYST</t>
        </is>
      </c>
    </row>
    <row r="214">
      <c r="A214" s="6" t="inlineStr">
        <is>
          <t>Chiều rủi ro</t>
        </is>
      </c>
      <c r="B214" s="6" t="inlineStr">
        <is>
          <t>nếu ký mới giữ nhịp, +15.5%/+16.0% là THẬN TRỌNG, không phải mạo hiểm</t>
        </is>
      </c>
      <c r="C214" s="6" t="n"/>
      <c r="D214" s="6" t="inlineStr">
        <is>
          <t>DERIVED</t>
        </is>
      </c>
    </row>
    <row r="215">
      <c r="A215" t="inlineStr">
        <is>
          <t>CẢNH BÁO — không dùng để định lượng tốc độ tăng</t>
        </is>
      </c>
      <c r="B215" s="5" t="n"/>
    </row>
    <row r="216">
      <c r="A216" s="6" t="inlineStr">
        <is>
          <t>Hệ số chuyển đổi không ổn định</t>
        </is>
      </c>
      <c r="B216" s="6" t="inlineStr">
        <is>
          <t>DT(N+1)/ký mới(N): 1.218 -&gt; 1.125 -&gt; 1.041 -&gt; 1.053 -&gt; 0.998</t>
        </is>
      </c>
      <c r="C216" s="6" t="inlineStr">
        <is>
          <t>REJECTED</t>
        </is>
      </c>
      <c r="D216" s="6" t="inlineStr">
        <is>
          <t>DERIVED</t>
        </is>
      </c>
    </row>
    <row r="217">
      <c r="A217" s="6" t="inlineStr">
        <is>
          <t>Nguyên nhân</t>
        </is>
      </c>
      <c r="B217" s="6" t="inlineStr">
        <is>
          <t>hợp đồng ký dài hạn hơn — tích lũy tăng một phần do kỳ hạn, không chỉ do khối lượng</t>
        </is>
      </c>
      <c r="C217" s="6" t="n"/>
      <c r="D217" s="6" t="inlineStr">
        <is>
          <t>ANALYST</t>
        </is>
      </c>
    </row>
    <row r="218">
      <c r="A218" s="6" t="inlineStr">
        <is>
          <t>Tương quan ký mới(N) -&gt; DT(N+1)</t>
        </is>
      </c>
      <c r="B218" s="6" t="inlineStr">
        <is>
          <t>0.60 với n=4 — không đủ để dùng làm mô hình</t>
        </is>
      </c>
      <c r="C218" s="6" t="inlineStr">
        <is>
          <t>REJECTED</t>
        </is>
      </c>
      <c r="D218" s="6" t="inlineStr">
        <is>
          <t>DERIVED</t>
        </is>
      </c>
    </row>
    <row r="219">
      <c r="A219" s="6" t="inlineStr">
        <is>
          <t>Mức tích lũy tuyệt đối vô nghĩa</t>
        </is>
      </c>
      <c r="B219" s="6" t="inlineStr">
        <is>
          <t>phụ thuộc mốc bắt đầu cộng dồn (2021); chỉ dùng phần THAY ĐỔI</t>
        </is>
      </c>
      <c r="C219" s="6" t="n"/>
      <c r="D219" s="6" t="inlineStr">
        <is>
          <t>ANALYST</t>
        </is>
      </c>
    </row>
    <row r="220">
      <c r="A220" s="6" t="inlineStr">
        <is>
          <t>Yếu tố tỷ giá</t>
        </is>
      </c>
      <c r="B220" s="6" t="inlineStr">
        <is>
          <t>ký mới bằng JPY/USD quy đổi VND — trộn khối lượng và tỷ giá</t>
        </is>
      </c>
      <c r="C220" s="6" t="inlineStr">
        <is>
          <t>GAP</t>
        </is>
      </c>
      <c r="D220" s="6" t="inlineStr">
        <is>
          <t>ANALYST</t>
        </is>
      </c>
    </row>
    <row r="221">
      <c r="A221" s="6" t="inlineStr">
        <is>
          <t>Đã sửa trên slide</t>
        </is>
      </c>
      <c r="B221" s="6" t="inlineStr">
        <is>
          <t>đoạn phân khúc EN/VN + Stock Pick E7; KHÔNG đổi con số dự phóng</t>
        </is>
      </c>
      <c r="C221" s="6" t="n"/>
      <c r="D221" s="6" t="inlineStr">
        <is>
          <t>MAS</t>
        </is>
      </c>
    </row>
    <row r="223">
      <c r="A223" t="inlineStr">
        <is>
          <t>FPT — CHẠY LẠI DCF (chi phí nợ 9.0%)</t>
        </is>
      </c>
      <c r="B223" s="5" t="n"/>
    </row>
    <row r="224">
      <c r="A224" s="6" t="inlineStr">
        <is>
          <t>Thay đổi của analyst</t>
        </is>
      </c>
      <c r="B224" s="6" t="inlineStr">
        <is>
          <t>Valuation!C18 chi phí nợ 11.5% -&gt; 9.0%</t>
        </is>
      </c>
      <c r="C224" s="6" t="n"/>
      <c r="D224" s="6" t="inlineStr">
        <is>
          <t>ANALYST</t>
        </is>
      </c>
    </row>
    <row r="225">
      <c r="A225" s="6" t="inlineStr">
        <is>
          <t>Chi phí nợ thực tế 1H26</t>
        </is>
      </c>
      <c r="B225" s="6" t="inlineStr">
        <is>
          <t>392.0 lãi vay / 19,761 dư nợ bình quân = 3.97%</t>
        </is>
      </c>
      <c r="C225" s="6" t="n"/>
      <c r="D225" s="6" t="inlineStr">
        <is>
          <t>COMPANY</t>
        </is>
      </c>
    </row>
    <row r="226">
      <c r="A226" t="inlineStr">
        <is>
          <t>Tình trạng sheet Valuation trước khi chạy</t>
        </is>
      </c>
      <c r="B226" s="5" t="n"/>
    </row>
    <row r="227">
      <c r="A227" s="6" t="inlineStr">
        <is>
          <t>Kết quả của chính sheet</t>
        </is>
      </c>
      <c r="B227" s="6" t="inlineStr">
        <is>
          <t>106,668đ/cp — KHÔNG khớp giá mục tiêu 78,750 đã công bố</t>
        </is>
      </c>
      <c r="C227" s="6" t="inlineStr">
        <is>
          <t>REJECTED</t>
        </is>
      </c>
      <c r="D227" s="6" t="inlineStr">
        <is>
          <t>MODEL</t>
        </is>
      </c>
    </row>
    <row r="228">
      <c r="A228" s="6" t="inlineStr">
        <is>
          <t>Nợ ròng dùng cột FY24</t>
        </is>
      </c>
      <c r="B228" s="6" t="inlineStr">
        <is>
          <t>BS!O6/O7/O50/O53 — phải là FY26F</t>
        </is>
      </c>
      <c r="C228" s="6" t="inlineStr">
        <is>
          <t>REJECTED</t>
        </is>
      </c>
      <c r="D228" s="6" t="inlineStr">
        <is>
          <t>MODEL</t>
        </is>
      </c>
    </row>
    <row r="229">
      <c r="A229" s="6" t="inlineStr">
        <is>
          <t xml:space="preserve">  tiền ròng dùng 16,153</t>
        </is>
      </c>
      <c r="B229" s="6" t="inlineStr">
        <is>
          <t>thực tế 30/06/26 là 10,523</t>
        </is>
      </c>
      <c r="C229" s="6" t="inlineStr">
        <is>
          <t>REJECTED</t>
        </is>
      </c>
      <c r="D229" s="6" t="inlineStr">
        <is>
          <t>COMPANY</t>
        </is>
      </c>
    </row>
    <row r="230">
      <c r="A230" s="6" t="inlineStr">
        <is>
          <t>Capex FY26F dương +349</t>
        </is>
      </c>
      <c r="B230" s="6" t="inlineStr">
        <is>
          <t>tức là bán tài sản ròng — vô lý</t>
        </is>
      </c>
      <c r="C230" s="6" t="inlineStr">
        <is>
          <t>REJECTED</t>
        </is>
      </c>
      <c r="D230" s="6" t="inlineStr">
        <is>
          <t>MODEL</t>
        </is>
      </c>
    </row>
    <row r="231">
      <c r="A231" s="6" t="inlineStr">
        <is>
          <t>Terminal g cache 2.5%</t>
        </is>
      </c>
      <c r="B231" s="6" t="inlineStr">
        <is>
          <t>ô nhập C7 = 1.5%</t>
        </is>
      </c>
      <c r="C231" s="6" t="inlineStr">
        <is>
          <t>REJECTED</t>
        </is>
      </c>
      <c r="D231" s="6" t="inlineStr">
        <is>
          <t>MODEL</t>
        </is>
      </c>
    </row>
    <row r="232">
      <c r="A232" s="6" t="inlineStr">
        <is>
          <t>Phần FCFE</t>
        </is>
      </c>
      <c r="B232" s="6" t="inlineStr">
        <is>
          <t>toàn bộ #REF!</t>
        </is>
      </c>
      <c r="C232" s="6" t="inlineStr">
        <is>
          <t>REJECTED</t>
        </is>
      </c>
      <c r="D232" s="6" t="inlineStr">
        <is>
          <t>MODEL</t>
        </is>
      </c>
    </row>
    <row r="233">
      <c r="A233" s="6" t="inlineStr">
        <is>
          <t>KẾT LUẬN</t>
        </is>
      </c>
      <c r="B233" s="6" t="inlineStr">
        <is>
          <t>không thể "chạy lại" — phải dựng lại</t>
        </is>
      </c>
      <c r="C233" s="6" t="n"/>
      <c r="D233" s="6" t="inlineStr">
        <is>
          <t>ANALYST</t>
        </is>
      </c>
    </row>
    <row r="234">
      <c r="A234" t="inlineStr">
        <is>
          <t>Cấu trúc dựng lại — tổng của các phần</t>
        </is>
      </c>
      <c r="B234" s="5" t="n"/>
    </row>
    <row r="235">
      <c r="A235" s="6" t="inlineStr">
        <is>
          <t>Ngày định giá</t>
        </is>
      </c>
      <c r="B235" s="6" t="inlineStr">
        <is>
          <t>30/06/2026 (theo BCTC đã nộp)</t>
        </is>
      </c>
      <c r="C235" s="6" t="n"/>
      <c r="D235" s="6" t="inlineStr">
        <is>
          <t>COMPANY</t>
        </is>
      </c>
    </row>
    <row r="236">
      <c r="A236" s="6">
        <f> PV(FCFF hoạt động lõi) + LK + tiền ròng</f>
        <v/>
      </c>
      <c r="B236" s="6" t="inlineStr">
        <is>
          <t>đúng cấu trúc sau khi FOX thành liên kết</t>
        </is>
      </c>
      <c r="C236" s="6" t="n"/>
      <c r="D236" s="6" t="inlineStr">
        <is>
          <t>ANALYST</t>
        </is>
      </c>
    </row>
    <row r="237">
      <c r="A237" s="6" t="inlineStr">
        <is>
          <t>EBIT lõi FY26-28F</t>
        </is>
      </c>
      <c r="B237" s="6" t="inlineStr">
        <is>
          <t>8,475 / 9,626 / 11,117</t>
        </is>
      </c>
      <c r="C237" s="6" t="inlineStr">
        <is>
          <t>từ P&amp;L đã dựng lại</t>
        </is>
      </c>
      <c r="D237" s="6" t="inlineStr">
        <is>
          <t>MAS</t>
        </is>
      </c>
    </row>
    <row r="238">
      <c r="A238" s="6" t="inlineStr">
        <is>
          <t>Thuế</t>
        </is>
      </c>
      <c r="B238" s="6" t="inlineStr">
        <is>
          <t>15.55%</t>
        </is>
      </c>
      <c r="C238" s="6" t="inlineStr">
        <is>
          <t>1H26 thực tế</t>
        </is>
      </c>
      <c r="D238" s="6" t="inlineStr">
        <is>
          <t>COMPANY</t>
        </is>
      </c>
    </row>
    <row r="239">
      <c r="A239" s="6" t="inlineStr">
        <is>
          <t>Tiền ròng</t>
        </is>
      </c>
      <c r="B239" s="6" t="inlineStr">
        <is>
          <t>10,523</t>
        </is>
      </c>
      <c r="C239" s="6" t="inlineStr">
        <is>
          <t>30/06/2026 đã nộp</t>
        </is>
      </c>
      <c r="D239" s="6" t="inlineStr">
        <is>
          <t>COMPANY</t>
        </is>
      </c>
    </row>
    <row r="240">
      <c r="A240" s="6" t="inlineStr">
        <is>
          <t>Công ty liên kết</t>
        </is>
      </c>
      <c r="B240" s="6" t="inlineStr">
        <is>
          <t>9,995 theo giá trị ghi sổ</t>
        </is>
      </c>
      <c r="C240" s="6" t="inlineStr">
        <is>
          <t>30/06/2026, TM 17</t>
        </is>
      </c>
      <c r="D240" s="6" t="inlineStr">
        <is>
          <t>COMPANY</t>
        </is>
      </c>
    </row>
    <row r="241">
      <c r="A241" s="6" t="inlineStr">
        <is>
          <t>Số cổ phiếu</t>
        </is>
      </c>
      <c r="B241" s="6" t="inlineStr">
        <is>
          <t>1,703,507,121</t>
        </is>
      </c>
      <c r="C241" s="6" t="inlineStr">
        <is>
          <t>TM 24</t>
        </is>
      </c>
      <c r="D241" s="6" t="inlineStr">
        <is>
          <t>COMPANY</t>
        </is>
      </c>
    </row>
    <row r="242">
      <c r="A242" s="6" t="inlineStr">
        <is>
          <t>Chi phí vốn CSH</t>
        </is>
      </c>
      <c r="B242" s="6" t="inlineStr">
        <is>
          <t>13.27% (Rf 4.3% + ERP 8.966%)</t>
        </is>
      </c>
      <c r="C242" s="6" t="n"/>
      <c r="D242" s="6" t="inlineStr">
        <is>
          <t>MAS</t>
        </is>
      </c>
    </row>
    <row r="243">
      <c r="A243" s="6" t="inlineStr">
        <is>
          <t>Trọng số</t>
        </is>
      </c>
      <c r="B243" s="6" t="inlineStr">
        <is>
          <t>VCSH sổ sách 68.4% / nợ 31.6%</t>
        </is>
      </c>
      <c r="C243" s="6" t="inlineStr">
        <is>
          <t>theo quy ước của model</t>
        </is>
      </c>
      <c r="D243" s="6" t="inlineStr">
        <is>
          <t>MAS</t>
        </is>
      </c>
    </row>
    <row r="244">
      <c r="A244" s="6" t="inlineStr">
        <is>
          <t>WACC</t>
        </is>
      </c>
      <c r="B244" s="6" t="inlineStr">
        <is>
          <t>11.47% (từ 12.14%)</t>
        </is>
      </c>
      <c r="C244" s="6" t="n"/>
      <c r="D244" s="6" t="inlineStr">
        <is>
          <t>DERIVED</t>
        </is>
      </c>
    </row>
    <row r="245">
      <c r="A245" s="6" t="inlineStr">
        <is>
          <t>Terminal g</t>
        </is>
      </c>
      <c r="B245" s="6" t="inlineStr">
        <is>
          <t>1.5%</t>
        </is>
      </c>
      <c r="C245" s="6" t="n"/>
      <c r="D245" s="6" t="inlineStr">
        <is>
          <t>MAS</t>
        </is>
      </c>
    </row>
    <row r="246">
      <c r="A246" s="6" t="inlineStr">
        <is>
          <t>ƯỚC LƯỢNG — không có nguồn</t>
        </is>
      </c>
      <c r="B246" s="6" t="inlineStr">
        <is>
          <t>capex 5.0% DT · KH 4.0% DT · vốn lưu động 12% mức tăng DT</t>
        </is>
      </c>
      <c r="C246" s="6" t="inlineStr">
        <is>
          <t>GAP</t>
        </is>
      </c>
      <c r="D246" s="6" t="inlineStr">
        <is>
          <t>ANALYST</t>
        </is>
      </c>
    </row>
    <row r="247">
      <c r="A247" s="6" t="inlineStr">
        <is>
          <t>Lý do phải ước lượng</t>
        </is>
      </c>
      <c r="B247" s="6" t="inlineStr">
        <is>
          <t>BS!229-245 vẫn còn FPT Telecom; BCTC quý không có LCTT</t>
        </is>
      </c>
      <c r="C247" s="6" t="n"/>
      <c r="D247" s="6" t="inlineStr">
        <is>
          <t>ANALYST</t>
        </is>
      </c>
    </row>
    <row r="248">
      <c r="A248" t="inlineStr">
        <is>
          <t>Kết quả</t>
        </is>
      </c>
      <c r="B248" s="5" t="n"/>
    </row>
    <row r="249">
      <c r="A249" s="6" t="inlineStr">
        <is>
          <t>PV dòng tiền 2H26-FY28F</t>
        </is>
      </c>
      <c r="B249" s="6" t="inlineStr">
        <is>
          <t>15,037</t>
        </is>
      </c>
      <c r="C249" s="6" t="n"/>
      <c r="D249" s="6" t="inlineStr">
        <is>
          <t>DERIVED</t>
        </is>
      </c>
    </row>
    <row r="250">
      <c r="A250" s="6" t="inlineStr">
        <is>
          <t>PV giá trị cuối</t>
        </is>
      </c>
      <c r="B250" s="6" t="inlineStr">
        <is>
          <t>61,765 (80% EV)</t>
        </is>
      </c>
      <c r="C250" s="6" t="n"/>
      <c r="D250" s="6" t="inlineStr">
        <is>
          <t>DERIVED</t>
        </is>
      </c>
    </row>
    <row r="251">
      <c r="A251" s="6" t="inlineStr">
        <is>
          <t>Giá trị vốn CSH</t>
        </is>
      </c>
      <c r="B251" s="6" t="inlineStr">
        <is>
          <t>97,319</t>
        </is>
      </c>
      <c r="C251" s="6" t="n"/>
      <c r="D251" s="6" t="inlineStr">
        <is>
          <t>DERIVED</t>
        </is>
      </c>
    </row>
    <row r="252">
      <c r="A252" s="6" t="inlineStr">
        <is>
          <t>GIÁ TRỊ MỖI CỔ PHẦN</t>
        </is>
      </c>
      <c r="B252" s="6" t="inlineStr">
        <is>
          <t>57,129 đ</t>
        </is>
      </c>
      <c r="C252" s="6" t="n"/>
      <c r="D252" s="6" t="inlineStr">
        <is>
          <t>DERIVED</t>
        </is>
      </c>
    </row>
    <row r="253">
      <c r="A253" s="6" t="inlineStr">
        <is>
          <t>So với thị giá 62,900</t>
        </is>
      </c>
      <c r="B253" s="6" t="inlineStr">
        <is>
          <t>-9.2%</t>
        </is>
      </c>
      <c r="C253" s="6" t="n"/>
      <c r="D253" s="6" t="inlineStr">
        <is>
          <t>DERIVED</t>
        </is>
      </c>
    </row>
    <row r="254">
      <c r="A254" s="6" t="inlineStr">
        <is>
          <t>So với GMT công bố 78,750</t>
        </is>
      </c>
      <c r="B254" s="6" t="inlineStr">
        <is>
          <t>-27.5%</t>
        </is>
      </c>
      <c r="C254" s="6" t="n"/>
      <c r="D254" s="6" t="inlineStr">
        <is>
          <t>DERIVED</t>
        </is>
      </c>
    </row>
    <row r="255">
      <c r="A255" s="6" t="inlineStr">
        <is>
          <t>Riêng thay đổi chi phí nợ</t>
        </is>
      </c>
      <c r="B255" s="6" t="inlineStr">
        <is>
          <t>+2,746đ (+5.0%) — làm TĂNG giá trị</t>
        </is>
      </c>
      <c r="C255" s="6" t="inlineStr">
        <is>
          <t>CHECK</t>
        </is>
      </c>
      <c r="D255" s="6" t="inlineStr">
        <is>
          <t>DERIVED</t>
        </is>
      </c>
    </row>
    <row r="256">
      <c r="A256" s="6" t="inlineStr">
        <is>
          <t>Khoảng nhạy capex 4.0-6.0%</t>
        </is>
      </c>
      <c r="B256" s="6" t="inlineStr">
        <is>
          <t>52,687 - 61,570 đ</t>
        </is>
      </c>
      <c r="C256" s="6" t="n"/>
      <c r="D256" s="6" t="inlineStr">
        <is>
          <t>DERIVED</t>
        </is>
      </c>
    </row>
    <row r="257">
      <c r="A257" s="6" t="inlineStr">
        <is>
          <t>Khoảng nhạy WACC ±1%, g 0.5-2.5%</t>
        </is>
      </c>
      <c r="B257" s="6" t="inlineStr">
        <is>
          <t>50,148 - 67,603 đ</t>
        </is>
      </c>
      <c r="C257" s="6" t="n"/>
      <c r="D257" s="6" t="inlineStr">
        <is>
          <t>DERIVED</t>
        </is>
      </c>
    </row>
    <row r="258">
      <c r="A258" s="6" t="inlineStr">
        <is>
          <t>LK theo thị giá 1.0x-2.5x sổ sách</t>
        </is>
      </c>
      <c r="B258" s="6" t="inlineStr">
        <is>
          <t>57,129 - 65,929 đ</t>
        </is>
      </c>
      <c r="C258" s="6" t="inlineStr">
        <is>
          <t>FOX/FRT/FOC đều niêm yết</t>
        </is>
      </c>
      <c r="D258" s="6" t="inlineStr">
        <is>
          <t>GAP</t>
        </is>
      </c>
    </row>
    <row r="259">
      <c r="A259" t="inlineStr">
        <is>
          <t>HÀM Ý — CHƯA THỰC HIỆN</t>
        </is>
      </c>
      <c r="B259" s="5" t="n"/>
    </row>
    <row r="260">
      <c r="A260" s="6" t="inlineStr">
        <is>
          <t>GMT 78,750 hiện tại</t>
        </is>
      </c>
      <c r="B260" s="6" t="inlineStr">
        <is>
          <t>không có chỗ nào trong file tái lập được con số này</t>
        </is>
      </c>
      <c r="C260" s="6" t="inlineStr">
        <is>
          <t>GAP</t>
        </is>
      </c>
      <c r="D260" s="6" t="inlineStr">
        <is>
          <t>ANALYST</t>
        </is>
      </c>
    </row>
    <row r="261">
      <c r="A261" s="6" t="inlineStr">
        <is>
          <t>Nếu lấy 57,129</t>
        </is>
      </c>
      <c r="B261" s="6" t="inlineStr">
        <is>
          <t>thấp hơn thị giá -&gt; khuyến nghị chuyển từ MUA sang NẮM GIỮ/BÁN</t>
        </is>
      </c>
      <c r="C261" s="6" t="inlineStr">
        <is>
          <t>GAP</t>
        </is>
      </c>
      <c r="D261" s="6" t="inlineStr">
        <is>
          <t>ANALYST</t>
        </is>
      </c>
    </row>
    <row r="262">
      <c r="A262" s="6" t="inlineStr">
        <is>
          <t>Chưa cascade</t>
        </is>
      </c>
      <c r="B262" s="6" t="inlineStr">
        <is>
          <t>giá mục tiêu và khuyến nghị trên slide GIỮ NGUYÊN chờ quyết định</t>
        </is>
      </c>
      <c r="C262" s="6" t="n"/>
      <c r="D262" s="6" t="inlineStr">
        <is>
          <t>MAS</t>
        </is>
      </c>
    </row>
    <row r="263">
      <c r="A263" s="6" t="inlineStr">
        <is>
          <t>Việc cần làm trước</t>
        </is>
      </c>
      <c r="B263" s="6" t="inlineStr">
        <is>
          <t>(1) lập lại BS (2) định giá LK theo thị giá (3) chốt capex</t>
        </is>
      </c>
      <c r="C263" s="6" t="n"/>
      <c r="D263" s="6" t="inlineStr">
        <is>
          <t>ANALYST</t>
        </is>
      </c>
    </row>
    <row r="265">
      <c r="A265" t="inlineStr">
        <is>
          <t>SLIDE VIẾT LẠI THEO MODEL GỐC (FPT_2Q26.xlsx, analyst tải lên 03/08)</t>
        </is>
      </c>
      <c r="B265" s="5" t="n"/>
    </row>
    <row r="266">
      <c r="A266" s="6" t="inlineStr">
        <is>
          <t>Quyết định</t>
        </is>
      </c>
      <c r="B266" s="6" t="inlineStr">
        <is>
          <t>analyst chọn: slide lấy theo model gốc, KHÔNG dùng bản chỉnh theo BCTC</t>
        </is>
      </c>
      <c r="C266" s="6" t="n"/>
      <c r="D266" s="6" t="inlineStr">
        <is>
          <t>ANALYST</t>
        </is>
      </c>
    </row>
    <row r="267">
      <c r="A267" s="6" t="inlineStr">
        <is>
          <t>Trạng thái file</t>
        </is>
      </c>
      <c r="B267" s="6" t="inlineStr">
        <is>
          <t>đã được Excel tính lại; chi phí nợ 9.0%; các giá trị là số sống</t>
        </is>
      </c>
      <c r="C267" s="6" t="inlineStr">
        <is>
          <t>đạt</t>
        </is>
      </c>
      <c r="D267" s="6" t="inlineStr">
        <is>
          <t>CHECK</t>
        </is>
      </c>
    </row>
    <row r="268">
      <c r="A268" t="inlineStr">
        <is>
          <t>Chỉ tiêu</t>
        </is>
      </c>
      <c r="B268" s="5" t="inlineStr">
        <is>
          <t>FY26F</t>
        </is>
      </c>
      <c r="C268" t="inlineStr">
        <is>
          <t>FY27F</t>
        </is>
      </c>
      <c r="D268" t="inlineStr">
        <is>
          <t>FY28F</t>
        </is>
      </c>
    </row>
    <row r="269">
      <c r="A269" s="6" t="inlineStr">
        <is>
          <t>Doanh thu</t>
        </is>
      </c>
      <c r="B269" s="6" t="inlineStr">
        <is>
          <t>57,284</t>
        </is>
      </c>
      <c r="C269" s="6" t="inlineStr">
        <is>
          <t>66,048</t>
        </is>
      </c>
      <c r="D269" s="6" t="inlineStr">
        <is>
          <t>76,654</t>
        </is>
      </c>
    </row>
    <row r="270">
      <c r="A270" s="6" t="inlineStr">
        <is>
          <t>LN hoạt động</t>
        </is>
      </c>
      <c r="B270" s="6" t="inlineStr">
        <is>
          <t>9,807</t>
        </is>
      </c>
      <c r="C270" s="6" t="inlineStr">
        <is>
          <t>11,044</t>
        </is>
      </c>
      <c r="D270" s="6" t="inlineStr">
        <is>
          <t>13,053</t>
        </is>
      </c>
    </row>
    <row r="271">
      <c r="A271" s="6" t="inlineStr">
        <is>
          <t>LNTT</t>
        </is>
      </c>
      <c r="B271" s="6" t="inlineStr">
        <is>
          <t>13,070</t>
        </is>
      </c>
      <c r="C271" s="6" t="inlineStr">
        <is>
          <t>15,159</t>
        </is>
      </c>
      <c r="D271" s="6" t="inlineStr">
        <is>
          <t>17,671</t>
        </is>
      </c>
    </row>
    <row r="272">
      <c r="A272" s="6" t="inlineStr">
        <is>
          <t>LNST-CĐTS</t>
        </is>
      </c>
      <c r="B272" s="6" t="inlineStr">
        <is>
          <t>10,944</t>
        </is>
      </c>
      <c r="C272" s="6" t="inlineStr">
        <is>
          <t>12,674</t>
        </is>
      </c>
      <c r="D272" s="6" t="inlineStr">
        <is>
          <t>14,774</t>
        </is>
      </c>
    </row>
    <row r="273">
      <c r="A273" s="6" t="inlineStr">
        <is>
          <t>Tăng trưởng</t>
        </is>
      </c>
      <c r="B273" s="6" t="inlineStr">
        <is>
          <t>+15.6%</t>
        </is>
      </c>
      <c r="C273" s="6" t="inlineStr">
        <is>
          <t>+15.8%</t>
        </is>
      </c>
      <c r="D273" s="6" t="inlineStr">
        <is>
          <t>+16.6%</t>
        </is>
      </c>
    </row>
    <row r="274">
      <c r="A274" s="6" t="inlineStr">
        <is>
          <t>EPS (1,703.5 triệu cp)</t>
        </is>
      </c>
      <c r="B274" s="6" t="inlineStr">
        <is>
          <t>6,424</t>
        </is>
      </c>
      <c r="C274" s="6" t="inlineStr">
        <is>
          <t>7,440</t>
        </is>
      </c>
      <c r="D274" s="6" t="inlineStr">
        <is>
          <t>8,673</t>
        </is>
      </c>
    </row>
    <row r="275">
      <c r="A275" s="6" t="inlineStr">
        <is>
          <t>P/E tại GMT</t>
        </is>
      </c>
      <c r="B275" s="6" t="inlineStr">
        <is>
          <t>13.7</t>
        </is>
      </c>
      <c r="C275" s="6" t="inlineStr">
        <is>
          <t>11.8</t>
        </is>
      </c>
      <c r="D275" s="6" t="inlineStr">
        <is>
          <t>10.1</t>
        </is>
      </c>
    </row>
    <row r="276">
      <c r="A276" s="6" t="inlineStr">
        <is>
          <t>P/B tại GMT</t>
        </is>
      </c>
      <c r="B276" s="6" t="inlineStr">
        <is>
          <t>3.5</t>
        </is>
      </c>
      <c r="C276" s="6" t="inlineStr">
        <is>
          <t>3.0</t>
        </is>
      </c>
      <c r="D276" s="6" t="inlineStr">
        <is>
          <t>2.5</t>
        </is>
      </c>
    </row>
    <row r="277">
      <c r="A277" s="6" t="inlineStr">
        <is>
          <t>ROE</t>
        </is>
      </c>
      <c r="B277" s="6" t="inlineStr">
        <is>
          <t>27.6%</t>
        </is>
      </c>
      <c r="C277" s="6" t="inlineStr">
        <is>
          <t>27.1%</t>
        </is>
      </c>
      <c r="D277" s="6" t="inlineStr">
        <is>
          <t>26.5%</t>
        </is>
      </c>
    </row>
    <row r="278">
      <c r="A278" t="inlineStr">
        <is>
          <t>Định giá</t>
        </is>
      </c>
      <c r="B278" s="5" t="n"/>
    </row>
    <row r="279">
      <c r="A279" s="6" t="inlineStr">
        <is>
          <t>Giá mục tiêu</t>
        </is>
      </c>
      <c r="B279" s="6" t="inlineStr">
        <is>
          <t>87,950đ (model: 87,946, làm tròn 50)</t>
        </is>
      </c>
      <c r="C279" s="6" t="inlineStr">
        <is>
          <t>từ 78,750đ</t>
        </is>
      </c>
      <c r="D279" s="6" t="inlineStr">
        <is>
          <t>MODEL</t>
        </is>
      </c>
    </row>
    <row r="280">
      <c r="A280" s="6" t="inlineStr">
        <is>
          <t>Thị giá</t>
        </is>
      </c>
      <c r="B280" s="6" t="inlineStr">
        <is>
          <t>71,700đ</t>
        </is>
      </c>
      <c r="C280" s="6" t="inlineStr">
        <is>
          <t>Valuation!J23</t>
        </is>
      </c>
      <c r="D280" s="6" t="inlineStr">
        <is>
          <t>MODEL</t>
        </is>
      </c>
    </row>
    <row r="281">
      <c r="A281" s="6" t="inlineStr">
        <is>
          <t>Tiềm năng tăng</t>
        </is>
      </c>
      <c r="B281" s="6" t="inlineStr">
        <is>
          <t>+22.7%</t>
        </is>
      </c>
      <c r="C281" s="6" t="n"/>
      <c r="D281" s="6" t="inlineStr">
        <is>
          <t>DERIVED</t>
        </is>
      </c>
    </row>
    <row r="282">
      <c r="A282" s="6" t="inlineStr">
        <is>
          <t>Chi phí nợ</t>
        </is>
      </c>
      <c r="B282" s="6" t="inlineStr">
        <is>
          <t>9.0% (từ 11.5%)</t>
        </is>
      </c>
      <c r="C282" s="6" t="inlineStr">
        <is>
          <t>thực tế 1H26: 4.0%</t>
        </is>
      </c>
      <c r="D282" s="6" t="inlineStr">
        <is>
          <t>ANALYST</t>
        </is>
      </c>
    </row>
    <row r="283">
      <c r="A283" s="6" t="inlineStr">
        <is>
          <t>WACC</t>
        </is>
      </c>
      <c r="B283" s="6" t="inlineStr">
        <is>
          <t>11.39% (từ 12.08%)</t>
        </is>
      </c>
      <c r="C283" s="6" t="n"/>
      <c r="D283" s="6" t="inlineStr">
        <is>
          <t>MODEL</t>
        </is>
      </c>
    </row>
    <row r="284">
      <c r="A284" s="6" t="inlineStr">
        <is>
          <t>Chi phí vốn CSH / g</t>
        </is>
      </c>
      <c r="B284" s="6" t="inlineStr">
        <is>
          <t>13.27% / 1.5%</t>
        </is>
      </c>
      <c r="C284" s="6" t="inlineStr">
        <is>
          <t>giữ nguyên</t>
        </is>
      </c>
      <c r="D284" s="6" t="inlineStr">
        <is>
          <t>MODEL</t>
        </is>
      </c>
    </row>
    <row r="285">
      <c r="A285" s="6" t="inlineStr">
        <is>
          <t>Số cổ phiếu</t>
        </is>
      </c>
      <c r="B285" s="6" t="inlineStr">
        <is>
          <t>1,703,507,121</t>
        </is>
      </c>
      <c r="C285" s="6" t="inlineStr">
        <is>
          <t>dùng cho CẢ EPS và BVPS (trước đây EPS dùng 1,810tr)</t>
        </is>
      </c>
      <c r="D285" s="6" t="inlineStr">
        <is>
          <t>MODEL</t>
        </is>
      </c>
    </row>
    <row r="286">
      <c r="A286" s="6" t="inlineStr">
        <is>
          <t>Ngày thị giá</t>
        </is>
      </c>
      <c r="B286" s="6" t="inlineStr">
        <is>
          <t>31/07/26 — SUY LUẬN, chưa xác nhận</t>
        </is>
      </c>
      <c r="C286" s="6" t="inlineStr">
        <is>
          <t>GAP</t>
        </is>
      </c>
      <c r="D286" s="6" t="inlineStr">
        <is>
          <t>MAS</t>
        </is>
      </c>
    </row>
    <row r="287">
      <c r="A287" t="inlineStr">
        <is>
          <t>NHỮNG ĐIỀU MODEL GỐC KHÔNG PHẢN ÁNH — đã nêu với analyst</t>
        </is>
      </c>
      <c r="B287" s="5" t="n"/>
    </row>
    <row r="288">
      <c r="A288" s="6" t="inlineStr">
        <is>
          <t>Thuế</t>
        </is>
      </c>
      <c r="B288" s="6" t="inlineStr">
        <is>
          <t>15% trên TOÀN BỘ LNTT gồm cả phần liên kết</t>
        </is>
      </c>
      <c r="C288" s="6" t="inlineStr">
        <is>
          <t>BCTC 1H26: 11.7% LNTT / 15.55% ngoài LK</t>
        </is>
      </c>
      <c r="D288" s="6" t="inlineStr">
        <is>
          <t>GAP</t>
        </is>
      </c>
    </row>
    <row r="289">
      <c r="A289" s="6" t="inlineStr">
        <is>
          <t>Biên lợi nhuận gộp</t>
        </is>
      </c>
      <c r="B289" s="6" t="inlineStr">
        <is>
          <t>34.72%</t>
        </is>
      </c>
      <c r="C289" s="6" t="inlineStr">
        <is>
          <t>1H26 thực hiện 32.448%</t>
        </is>
      </c>
      <c r="D289" s="6" t="inlineStr">
        <is>
          <t>GAP</t>
        </is>
      </c>
    </row>
    <row r="290">
      <c r="A290" s="6" t="inlineStr">
        <is>
          <t>Lợi ích CĐ không kiểm soát</t>
        </is>
      </c>
      <c r="B290" s="6" t="inlineStr">
        <is>
          <t>166 / 211 / 246</t>
        </is>
      </c>
      <c r="C290" s="6" t="inlineStr">
        <is>
          <t>1H26 thực tế -7.8</t>
        </is>
      </c>
      <c r="D290" s="6" t="inlineStr">
        <is>
          <t>GAP</t>
        </is>
      </c>
    </row>
    <row r="291">
      <c r="A291" s="6" t="inlineStr">
        <is>
          <t>Dòng liên kết FY26F</t>
        </is>
      </c>
      <c r="B291" s="6" t="inlineStr">
        <is>
          <t>2,608 (4.5525% doanh thu)</t>
        </is>
      </c>
      <c r="C291" s="6" t="inlineStr">
        <is>
          <t>1H26 thực tế 1,423.4 -&gt; cả năm ~2,847</t>
        </is>
      </c>
      <c r="D291" s="6" t="inlineStr">
        <is>
          <t>GAP</t>
        </is>
      </c>
    </row>
    <row r="292">
      <c r="A292" s="6" t="inlineStr">
        <is>
          <t>Bảng cân đối</t>
        </is>
      </c>
      <c r="B292" s="6" t="inlineStr">
        <is>
          <t>vẫn hợp nhất FPT Telecom</t>
        </is>
      </c>
      <c r="C292" s="6" t="inlineStr">
        <is>
          <t>tổng TS FY26F 91,917 vs 73,734 tại 30/06/26</t>
        </is>
      </c>
      <c r="D292" s="6" t="inlineStr">
        <is>
          <t>GAP</t>
        </is>
      </c>
    </row>
    <row r="293">
      <c r="A293" s="6" t="inlineStr">
        <is>
          <t>Lộ trình +14.6/15.2/15.7 analyst đặt</t>
        </is>
      </c>
      <c r="B293" s="6" t="inlineStr">
        <is>
          <t>không còn áp dụng</t>
        </is>
      </c>
      <c r="C293" s="6" t="inlineStr">
        <is>
          <t>thay bằng +15.6/15.8/16.6</t>
        </is>
      </c>
      <c r="D293" s="6" t="inlineStr">
        <is>
          <t>—</t>
        </is>
      </c>
    </row>
    <row r="294">
      <c r="A294" s="6" t="inlineStr">
        <is>
          <t>Đã giữ lại</t>
        </is>
      </c>
      <c r="B294" s="6" t="inlineStr">
        <is>
          <t>dẫn chứng doanh thu ký mới 1H26 (26,338, +32.3%) trong đoạn phân khúc</t>
        </is>
      </c>
      <c r="C294" s="6" t="n"/>
      <c r="D294" s="6" t="inlineStr">
        <is>
          <t>PRESS</t>
        </is>
      </c>
    </row>
    <row r="295">
      <c r="A295" s="6" t="inlineStr">
        <is>
          <t>Kiểm tra tự động</t>
        </is>
      </c>
      <c r="B295" s="6" t="inlineStr">
        <is>
          <t>check_fpt.py 62/62 đạt — slide đối chiếu trực tiếp với model gốc</t>
        </is>
      </c>
      <c r="C295" s="6" t="n"/>
      <c r="D295" s="6" t="inlineStr">
        <is>
          <t>CHECK</t>
        </is>
      </c>
    </row>
    <row r="296">
      <c r="A296" t="inlineStr">
        <is>
          <t>STB — SỬA CÂU VỀ DỰ PHÒNG</t>
        </is>
      </c>
      <c r="B296" s="5" t="n"/>
    </row>
    <row r="297">
      <c r="A297" s="6" t="inlineStr">
        <is>
          <t>Câu cũ</t>
        </is>
      </c>
      <c r="B297" s="6" t="inlineStr">
        <is>
          <t>dự phòng FY26F 10.4 nghìn tỷ "là chưa đủ"</t>
        </is>
      </c>
      <c r="C297" s="6" t="inlineStr">
        <is>
          <t>REJECTED</t>
        </is>
      </c>
      <c r="D297" s="6" t="inlineStr">
        <is>
          <t>MAS</t>
        </is>
      </c>
    </row>
    <row r="298">
      <c r="A298" s="6" t="inlineStr">
        <is>
          <t>Lý do sửa</t>
        </is>
      </c>
      <c r="B298" s="6" t="inlineStr">
        <is>
          <t>nhịp 1H26 (~5,307 x2 = 10,614) cho thấy 10.4 nghìn tỷ là hợp lý</t>
        </is>
      </c>
      <c r="C298" s="6" t="n"/>
      <c r="D298" s="6" t="inlineStr">
        <is>
          <t>DERIVED</t>
        </is>
      </c>
    </row>
    <row r="299">
      <c r="A299" s="6" t="inlineStr">
        <is>
          <t>Câu mới</t>
        </is>
      </c>
      <c r="B299" s="6" t="inlineStr">
        <is>
          <t>FY26F sát nhịp 1H26; điểm yếu là FY27F (chi phí tín dụng ~0.8% khi nợ xấu &gt;7%)</t>
        </is>
      </c>
      <c r="C299" s="6" t="n"/>
      <c r="D299" s="6" t="inlineStr">
        <is>
          <t>MAS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2026-08-04T07:51:45Z</dcterms:modified>
</cp:coreProperties>
</file>