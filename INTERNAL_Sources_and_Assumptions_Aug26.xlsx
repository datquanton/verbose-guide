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  <row r="130">
      <c r="B130" s="13" t="inlineStr">
        <is>
          <t>STB — REVISION 04/08/2026: giữ bao phủ 50% -&gt; NPL 5.5%; CIR về 38-40%</t>
        </is>
      </c>
    </row>
    <row r="131">
      <c r="A131" t="inlineStr">
        <is>
          <t>R1</t>
        </is>
      </c>
      <c r="B131" t="inlineStr">
        <is>
          <t>Dự phòng đã trích cuối Q2/2026</t>
        </is>
      </c>
      <c r="C131" t="inlineStr">
        <is>
          <t>27,177</t>
        </is>
      </c>
      <c r="D131" t="inlineStr">
        <is>
          <t>VNDbn</t>
        </is>
      </c>
      <c r="E131" t="inlineStr">
        <is>
          <t>MODEL</t>
        </is>
      </c>
      <c r="F131" t="inlineStr">
        <is>
          <t>FinModel_STB_2Q26 Model!CA cột quý 2Q26; FY25 20,056 + 7,119 trích 1H26</t>
        </is>
      </c>
      <c r="G131" t="inlineStr">
        <is>
          <t>Bao phủ 56.7% (27,177/47,957), tăng từ 50.0% cuối 2025 — gần như chưa xóa nợ trong 1H26</t>
        </is>
      </c>
    </row>
    <row r="132">
      <c r="A132" t="inlineStr">
        <is>
          <t>R2</t>
        </is>
      </c>
      <c r="B132" t="inlineStr">
        <is>
          <t>Xóa nợ FY26F</t>
        </is>
      </c>
      <c r="C132" t="inlineStr">
        <is>
          <t>11796</t>
        </is>
      </c>
      <c r="D132" t="inlineStr">
        <is>
          <t>VNDbn</t>
        </is>
      </c>
      <c r="E132" t="inlineStr">
        <is>
          <t>DERIVED</t>
        </is>
      </c>
      <c r="F132" t="inlineStr">
        <is>
          <t>Model!Y287 = -1.71% x dư nợ 689,832 (trước: -0.95%)</t>
        </is>
      </c>
      <c r="G132" t="inlineStr">
        <is>
          <t>Nghiệm của bài toán giữ bao phủ 50%; tương đương 37% dư nợ nhóm 5 (~32,000)</t>
        </is>
      </c>
    </row>
    <row r="133">
      <c r="A133" t="inlineStr">
        <is>
          <t>R3</t>
        </is>
      </c>
      <c r="B133" t="inlineStr">
        <is>
          <t>Tỷ lệ trích/xóa FY26F</t>
        </is>
      </c>
      <c r="C133" t="inlineStr">
        <is>
          <t>0.85x</t>
        </is>
      </c>
      <c r="D133" t="inlineStr">
        <is>
          <t>x</t>
        </is>
      </c>
      <c r="E133" t="inlineStr">
        <is>
          <t>MAS</t>
        </is>
      </c>
      <c r="F133" t="inlineStr">
        <is>
          <t>Model!Y278 = -Y279*0.85 (trước: *1.5)</t>
        </is>
      </c>
      <c r="G133" t="inlineStr">
        <is>
          <t>Xử lý nợ tài trợ từ nguồn dự phòng đã trích, không từ P&amp;L. Giữ 1.5x trên mức xóa nợ này là nguyên nhân làm LNTT sụt 64% mà CV đã bác</t>
        </is>
      </c>
    </row>
    <row r="134">
      <c r="A134" t="inlineStr">
        <is>
          <t>R4</t>
        </is>
      </c>
      <c r="B134" t="inlineStr">
        <is>
          <t>Dự phòng đã trích cuối FY26F / bao phủ</t>
        </is>
      </c>
      <c r="C134" t="inlineStr">
        <is>
          <t>18973 / 50.0%</t>
        </is>
      </c>
      <c r="D134" t="inlineStr">
        <is>
          <t>VNDbn / %</t>
        </is>
      </c>
      <c r="E134" t="inlineStr">
        <is>
          <t>DERIVED</t>
        </is>
      </c>
      <c r="F134" t="inlineStr">
        <is>
          <t>gen 4,665 + spec 14,309; NPL 5.5% x 689,832 = 37,941</t>
        </is>
      </c>
      <c r="G134" t="inlineStr">
        <is>
          <t>Đúng mục tiêu "giữ bao phủ 50%" của CV</t>
        </is>
      </c>
    </row>
    <row r="135">
      <c r="A135" t="inlineStr">
        <is>
          <t>R5</t>
        </is>
      </c>
      <c r="B135" t="inlineStr">
        <is>
          <t>NPL FY26F / FY27F / FY28F</t>
        </is>
      </c>
      <c r="C135" t="inlineStr">
        <is>
          <t>5.5 / 4.0 / 2.7</t>
        </is>
      </c>
      <c r="D135" t="inlineStr">
        <is>
          <t>%</t>
        </is>
      </c>
      <c r="E135" t="inlineStr">
        <is>
          <t>MAS</t>
        </is>
      </c>
      <c r="F135" t="inlineStr">
        <is>
          <t>NPL!N26=0.933 N27=0.012 N28=0.009 N29=0.012 N30=0.034 (tổng 1.000)</t>
        </is>
      </c>
      <c r="G135" t="inlineStr">
        <is>
          <t>Hàm ý nợ xấu phát sinh mới 2H26 = 1,780 tỷ, bằng 23% nhịp 1H26 (7,800) — khớp giả định "chậm lại còn 20% nhịp 1H" CV đưa ra trước đó</t>
        </is>
      </c>
    </row>
    <row r="136">
      <c r="A136" t="inlineStr">
        <is>
          <t>R6</t>
        </is>
      </c>
      <c r="B136" t="inlineStr">
        <is>
          <t>CIR FY26F / FY27F / FY28F</t>
        </is>
      </c>
      <c r="C136" t="inlineStr">
        <is>
          <t>39.9 / 39.9 / 38.1</t>
        </is>
      </c>
      <c r="D136" t="inlineStr">
        <is>
          <t>%</t>
        </is>
      </c>
      <c r="E136" t="inlineStr">
        <is>
          <t>MAS</t>
        </is>
      </c>
      <c r="F136" t="inlineStr">
        <is>
          <t>Model!Y132=X132*1 (lương đi ngang), Y134=X134*0.99, Z132=Y132*1.08, AA132=Z132*1.1, AA134=Z134*1.15</t>
        </is>
      </c>
      <c r="G136" t="inlineStr">
        <is>
          <t>CIR 1H26 thực tế 35.6% (opex 6,233 / TOI 17,488). Build cũ cho 42.9% FY26F, tức opex 2H26 phải tăng 26.7% so với 1H26 — không có cơ sở</t>
        </is>
      </c>
    </row>
    <row r="137">
      <c r="A137" t="inlineStr">
        <is>
          <t>R7</t>
        </is>
      </c>
      <c r="B137" t="inlineStr">
        <is>
          <t>Opex 2H26 hàm ý</t>
        </is>
      </c>
      <c r="C137" t="inlineStr">
        <is>
          <t>6916</t>
        </is>
      </c>
      <c r="D137" t="inlineStr">
        <is>
          <t>VNDbn</t>
        </is>
      </c>
      <c r="E137" t="inlineStr">
        <is>
          <t>DERIVED</t>
        </is>
      </c>
      <c r="F137" t="inlineStr">
        <is>
          <t>FY26F 13149 - 1H26 thực tế 6,233</t>
        </is>
      </c>
      <c r="G137" t="inlineStr">
        <is>
          <t>+10.9% so với 1H26 — vẫn phản ánh tính mùa vụ dồn về cuối năm, không phải cắt giảm chi phí</t>
        </is>
      </c>
    </row>
    <row r="138">
      <c r="A138" t="inlineStr">
        <is>
          <t>R8</t>
        </is>
      </c>
      <c r="B138" t="inlineStr">
        <is>
          <t>LNTT / LNST FY26F</t>
        </is>
      </c>
      <c r="C138" t="inlineStr">
        <is>
          <t>8716 / 6786</t>
        </is>
      </c>
      <c r="D138" t="inlineStr">
        <is>
          <t>VNDbn</t>
        </is>
      </c>
      <c r="E138" t="inlineStr">
        <is>
          <t>DERIVED</t>
        </is>
      </c>
      <c r="F138" t="inlineStr">
        <is>
          <t>TOI 32,956 - opex 13149 - dự phòng 11091</t>
        </is>
      </c>
      <c r="G138" t="inlineStr">
        <is>
          <t>+14.3% CK. Hàm ý LNTT 2H26 4,580 tỷ = 15x nền 2H25 (297 tỷ) và +10.7% so với 1H26</t>
        </is>
      </c>
    </row>
    <row r="139">
      <c r="A139" t="inlineStr">
        <is>
          <t>R9</t>
        </is>
      </c>
      <c r="B139" t="inlineStr">
        <is>
          <t>Dự phòng P&amp;L FY26F</t>
        </is>
      </c>
      <c r="C139" t="inlineStr">
        <is>
          <t>11091</t>
        </is>
      </c>
      <c r="D139" t="inlineStr">
        <is>
          <t>VNDbn</t>
        </is>
      </c>
      <c r="E139" t="inlineStr">
        <is>
          <t>DERIVED</t>
        </is>
      </c>
      <c r="F139" t="inlineStr">
        <is>
          <t>chung 687 + cụ thể 10,027 + VAMC 377</t>
        </is>
      </c>
      <c r="G139" t="inlineStr">
        <is>
          <t>-2.6% CK so với 11,384 của FY25; gần như không đổi so với 10,889 của bản trước</t>
        </is>
      </c>
    </row>
    <row r="140">
      <c r="A140" t="inlineStr">
        <is>
          <t>C1</t>
        </is>
      </c>
      <c r="B140" t="inlineStr">
        <is>
          <t>Model!X284 dự phòng cụ thể đầu kỳ</t>
        </is>
      </c>
      <c r="C140" t="inlineStr">
        <is>
          <t>4,891 -&gt; 16,078</t>
        </is>
      </c>
      <c r="D140" t="inlineStr">
        <is>
          <t>VNDbn</t>
        </is>
      </c>
      <c r="E140" t="inlineStr">
        <is>
          <t>CONFLICT</t>
        </is>
      </c>
      <c r="F140" t="inlineStr">
        <is>
          <t>Model!X264 (BCĐKT FY25) = 20,056 nhưng bảng chuyển động X274+X284 chỉ 8,869</t>
        </is>
      </c>
      <c r="G140" t="inlineStr">
        <is>
          <t>Lỗi có sẵn trong model: mọi tỷ lệ bao phủ dự phóng trước đây đều vô nghĩa. Đã sửa để X274+X284 = 20,056</t>
        </is>
      </c>
    </row>
    <row r="141">
      <c r="A141" t="inlineStr">
        <is>
          <t>G14</t>
        </is>
      </c>
      <c r="B141" t="inlineStr">
        <is>
          <t>Cân đối kế toán lệch sau khi sửa X284</t>
        </is>
      </c>
      <c r="C141" t="inlineStr">
        <is>
          <t>-6,755</t>
        </is>
      </c>
      <c r="D141" t="inlineStr">
        <is>
          <t>VNDbn</t>
        </is>
      </c>
      <c r="E141" t="inlineStr">
        <is>
          <t>GAP</t>
        </is>
      </c>
      <c r="F141" t="inlineStr">
        <is>
          <t>Model!Y103 = Y61 - Y102; dự phòng tăng làm cho vay thuần giảm 6,146, VCSH tăng 609</t>
        </is>
      </c>
      <c r="G141" t="inlineStr">
        <is>
          <t>CHƯA XỬ LÝ — cần chốt khoản mục bù (huy động hoặc tiền gửi liên ngân hàng) trước khi phát hành. Tổng tài sản trên slide = số đã công bố trừ 6,146</t>
        </is>
      </c>
    </row>
    <row r="142">
      <c r="A142" t="inlineStr">
        <is>
          <t>G15</t>
        </is>
      </c>
      <c r="B142" t="inlineStr">
        <is>
          <t>Giá mục tiêu vs sheet Valuation</t>
        </is>
      </c>
      <c r="C142" t="inlineStr">
        <is>
          <t>77,800 vs 61,400</t>
        </is>
      </c>
      <c r="D142" t="inlineStr">
        <is>
          <t>VND</t>
        </is>
      </c>
      <c r="E142" t="inlineStr">
        <is>
          <t>CONFLICT</t>
        </is>
      </c>
      <c r="F142" t="inlineStr">
        <is>
          <t>Valuation!B1 = J16 = P/B hợp lý FY27F x BPS FY27F</t>
        </is>
      </c>
      <c r="G142" t="inlineStr">
        <is>
          <t>Sheet Valuation cho 56,100 trước điều chỉnh và ~61,400 sau (ROE bền vững FY27F lên 14.8%, BPS 37,570). Slide vẫn để 77,800 — CHƯA ĐỊNH GIÁ LẠI, cần CV quyết</t>
        </is>
      </c>
    </row>
    <row r="143">
      <c r="A143" t="inlineStr">
        <is>
          <t>G16</t>
        </is>
      </c>
      <c r="B143" t="inlineStr">
        <is>
          <t>Giá mục tiêu ghi 77,500 trong file stock pick</t>
        </is>
      </c>
      <c r="C143" t="inlineStr">
        <is>
          <t>77,500 vs 77,800</t>
        </is>
      </c>
      <c r="D143" t="inlineStr">
        <is>
          <t>VND</t>
        </is>
      </c>
      <c r="E143" t="inlineStr">
        <is>
          <t>CONFLICT</t>
        </is>
      </c>
      <c r="F143" t="inlineStr">
        <is>
          <t>Stock Pick!D6 và Target Price!C13 ghi 77,500; cột J6/L6 lại tính trên 77,800</t>
        </is>
      </c>
      <c r="G143" t="inlineStr">
        <is>
          <t>CHƯA SỬA — chênh 0.4%, cần CV xác nhận số nào đúng</t>
        </is>
      </c>
    </row>
    <row r="144">
      <c r="A144" t="inlineStr">
        <is>
          <t>G17</t>
        </is>
      </c>
      <c r="B144" t="inlineStr">
        <is>
          <t>Tăng trưởng tín dụng FY26F 11.7% vs 1.5% thực hiện 1H26</t>
        </is>
      </c>
      <c r="E144" t="inlineStr">
        <is>
          <t>GAP</t>
        </is>
      </c>
      <c r="F144" t="inlineStr">
        <is>
          <t>Model!Y206 = 10.1%; slide ghi 11.7%</t>
        </is>
      </c>
      <c r="G144" t="inlineStr">
        <is>
          <t>CHƯA XỬ LÝ — hạ giả định này sẽ kéo NII, TOI và cả mẫu số của NPL/CIR</t>
        </is>
      </c>
    </row>
    <row r="145">
      <c r="A145" t="inlineStr">
        <is>
          <t>G18</t>
        </is>
      </c>
      <c r="B145" t="inlineStr">
        <is>
          <t>Model chưa mở lại bằng Excel</t>
        </is>
      </c>
      <c r="E145" t="inlineStr">
        <is>
          <t>GAP</t>
        </is>
      </c>
      <c r="F145" t="inlineStr">
        <is>
          <t>fullCalcOnLoad=1 đã bật</t>
        </is>
      </c>
      <c r="G145" t="inlineStr">
        <is>
          <t>Toàn bộ số ở trên tính lại bằng Python theo đúng chuỗi công thức của model (fix_stb_model.cascade); cần mở Excel đối chiếu trước khi phát hành</t>
        </is>
      </c>
    </row>
    <row r="147">
      <c r="B147" s="13" t="inlineStr">
        <is>
          <t>STB — REVISION 04/08/2026: giữ bao phủ 50% -&gt; NPL 5.5%; CIR 40/38/36% FY26-28F</t>
        </is>
      </c>
    </row>
    <row r="148">
      <c r="A148" t="inlineStr">
        <is>
          <t>R1</t>
        </is>
      </c>
      <c r="B148" t="inlineStr">
        <is>
          <t>Dự phòng đã trích cuối Q2/2026</t>
        </is>
      </c>
      <c r="C148" t="inlineStr">
        <is>
          <t>27,177</t>
        </is>
      </c>
      <c r="D148" t="inlineStr">
        <is>
          <t>VNDbn</t>
        </is>
      </c>
      <c r="E148" t="inlineStr">
        <is>
          <t>MODEL</t>
        </is>
      </c>
      <c r="F148" t="inlineStr">
        <is>
          <t>FinModel_STB_2Q26 Model!CA cột quý 2Q26; FY25 20,056 + 7,119 trích 1H26</t>
        </is>
      </c>
      <c r="G148" t="inlineStr">
        <is>
          <t>Bao phủ 56.7% (27,177/47,957), tăng từ 50.0% cuối 2025 — gần như chưa xóa nợ trong 1H26</t>
        </is>
      </c>
    </row>
    <row r="149">
      <c r="A149" t="inlineStr">
        <is>
          <t>R2</t>
        </is>
      </c>
      <c r="B149" t="inlineStr">
        <is>
          <t>Xóa nợ FY26F</t>
        </is>
      </c>
      <c r="C149" t="inlineStr">
        <is>
          <t>11796</t>
        </is>
      </c>
      <c r="D149" t="inlineStr">
        <is>
          <t>VNDbn</t>
        </is>
      </c>
      <c r="E149" t="inlineStr">
        <is>
          <t>DERIVED</t>
        </is>
      </c>
      <c r="F149" t="inlineStr">
        <is>
          <t>Model!Y287 = -1.71% x dư nợ 689,832 (trước: -0.95%)</t>
        </is>
      </c>
      <c r="G149" t="inlineStr">
        <is>
          <t>Nghiệm của bài toán giữ bao phủ 50%; tương đương 37% dư nợ nhóm 5 (~32,000)</t>
        </is>
      </c>
    </row>
    <row r="150">
      <c r="A150" t="inlineStr">
        <is>
          <t>R3</t>
        </is>
      </c>
      <c r="B150" t="inlineStr">
        <is>
          <t>Tỷ lệ trích/xóa FY26F</t>
        </is>
      </c>
      <c r="C150" t="inlineStr">
        <is>
          <t>0.85x</t>
        </is>
      </c>
      <c r="D150" t="inlineStr">
        <is>
          <t>x</t>
        </is>
      </c>
      <c r="E150" t="inlineStr">
        <is>
          <t>MAS</t>
        </is>
      </c>
      <c r="F150" t="inlineStr">
        <is>
          <t>Model!Y278 = -Y279*0.85 (trước: *1.5)</t>
        </is>
      </c>
      <c r="G150" t="inlineStr">
        <is>
          <t>Xử lý nợ tài trợ từ nguồn dự phòng đã trích, không từ P&amp;L. Giữ 1.5x trên mức xóa nợ này là nguyên nhân làm LNTT sụt 64% mà CV đã bác</t>
        </is>
      </c>
    </row>
    <row r="151">
      <c r="A151" t="inlineStr">
        <is>
          <t>R4</t>
        </is>
      </c>
      <c r="B151" t="inlineStr">
        <is>
          <t>Dự phòng đã trích cuối FY26F / bao phủ</t>
        </is>
      </c>
      <c r="C151" t="inlineStr">
        <is>
          <t>18973 / 50.0%</t>
        </is>
      </c>
      <c r="D151" t="inlineStr">
        <is>
          <t>VNDbn / %</t>
        </is>
      </c>
      <c r="E151" t="inlineStr">
        <is>
          <t>DERIVED</t>
        </is>
      </c>
      <c r="F151" t="inlineStr">
        <is>
          <t>gen 4,665 + spec 14,309; NPL 5.5% x 689,832 = 37,941</t>
        </is>
      </c>
      <c r="G151" t="inlineStr">
        <is>
          <t>Đúng mục tiêu "giữ bao phủ 50%" của CV</t>
        </is>
      </c>
    </row>
    <row r="152">
      <c r="A152" t="inlineStr">
        <is>
          <t>R5</t>
        </is>
      </c>
      <c r="B152" t="inlineStr">
        <is>
          <t>NPL FY26F / FY27F / FY28F</t>
        </is>
      </c>
      <c r="C152" t="inlineStr">
        <is>
          <t>5.5 / 4.0 / 2.7</t>
        </is>
      </c>
      <c r="D152" t="inlineStr">
        <is>
          <t>%</t>
        </is>
      </c>
      <c r="E152" t="inlineStr">
        <is>
          <t>MAS</t>
        </is>
      </c>
      <c r="F152" t="inlineStr">
        <is>
          <t>NPL!N26=0.933 N27=0.012 N28=0.009 N29=0.012 N30=0.034 (tổng 1.000)</t>
        </is>
      </c>
      <c r="G152" t="inlineStr">
        <is>
          <t>Hàm ý nợ xấu phát sinh mới 2H26 = 1,780 tỷ, bằng 23% nhịp 1H26 (7,800) — khớp giả định "chậm lại còn 20% nhịp 1H" CV đưa ra trước đó</t>
        </is>
      </c>
    </row>
    <row r="153">
      <c r="A153" t="inlineStr">
        <is>
          <t>R6</t>
        </is>
      </c>
      <c r="B153" t="inlineStr">
        <is>
          <t>CIR FY26F / FY27F / FY28F</t>
        </is>
      </c>
      <c r="C153" t="inlineStr">
        <is>
          <t>40.0 / 38.0 / 36.0</t>
        </is>
      </c>
      <c r="D153" t="inlineStr">
        <is>
          <t>%</t>
        </is>
      </c>
      <c r="E153" t="inlineStr">
        <is>
          <t>MAS</t>
        </is>
      </c>
      <c r="F153" t="inlineStr">
        <is>
          <t>Model!Y132=X132*1 và Y134=X134*1 (lương và chi phí khác đi ngang so với FY25); Z132/Z134 = *1.015; AA132/AA134 = *1.106. Khấu hao Y133/Z133/AA133 giữ nguyên build cũ</t>
        </is>
      </c>
      <c r="G153" t="inlineStr">
        <is>
          <t>CIR 1H26 thực tế 35.6% (opex 6,233 / TOI 17,488). Build cũ cho 42.9/42.6/40.5%, tức opex 2H26 phải tăng 26.7% so với 1H26 — không có cơ sở. Hệ số nhân là nghiệm của mục tiêu CIR CV đặt ra, áp chung cho cả dòng lương và chi phí khác</t>
        </is>
      </c>
    </row>
    <row r="154">
      <c r="A154" t="inlineStr">
        <is>
          <t>R6b</t>
        </is>
      </c>
      <c r="B154" t="inlineStr">
        <is>
          <t>Ràng buộc của mục tiêu CIR 38% năm FY27F</t>
        </is>
      </c>
      <c r="C154" t="inlineStr">
        <is>
          <t>+1.5%</t>
        </is>
      </c>
      <c r="D154" t="inlineStr">
        <is>
          <t>% tăng opex</t>
        </is>
      </c>
      <c r="E154" t="inlineStr">
        <is>
          <t>GAP</t>
        </is>
      </c>
      <c r="F154" t="inlineStr">
        <is>
          <t>TOI FY27F +11.1% nhưng khấu hao Z133 = Y133*1.2 (+20%) theo build gốc</t>
        </is>
      </c>
      <c r="G154" t="inlineStr">
        <is>
          <t>Khấu hao nhảy 20% chiếm hết dư địa, nên lương + chi phí khác chỉ được tăng 1.5% để về 38%. Nếu hệ số khấu hao 1.2x không có cơ sở (đây là input của bản gốc, tôi không sửa), hạ về 1.1x sẽ cho lương + chi phí khác tăng 4.3% — hợp lý hơn. CẦN CV XÁC NHẬN</t>
        </is>
      </c>
    </row>
    <row r="155">
      <c r="A155" t="inlineStr">
        <is>
          <t>R7</t>
        </is>
      </c>
      <c r="B155" t="inlineStr">
        <is>
          <t>Opex 2H26 hàm ý</t>
        </is>
      </c>
      <c r="C155" t="inlineStr">
        <is>
          <t>6949</t>
        </is>
      </c>
      <c r="D155" t="inlineStr">
        <is>
          <t>VNDbn</t>
        </is>
      </c>
      <c r="E155" t="inlineStr">
        <is>
          <t>DERIVED</t>
        </is>
      </c>
      <c r="F155" t="inlineStr">
        <is>
          <t>FY26F 13182 - 1H26 thực tế 6,233</t>
        </is>
      </c>
      <c r="G155" t="inlineStr">
        <is>
          <t>+11.5% so với 1H26 — vẫn phản ánh tính mùa vụ dồn về cuối năm, không phải cắt giảm chi phí</t>
        </is>
      </c>
    </row>
    <row r="156">
      <c r="A156" t="inlineStr">
        <is>
          <t>R8</t>
        </is>
      </c>
      <c r="B156" t="inlineStr">
        <is>
          <t>LNTT / LNST FY26F</t>
        </is>
      </c>
      <c r="C156" t="inlineStr">
        <is>
          <t>8683 / 6761</t>
        </is>
      </c>
      <c r="D156" t="inlineStr">
        <is>
          <t>VNDbn</t>
        </is>
      </c>
      <c r="E156" t="inlineStr">
        <is>
          <t>DERIVED</t>
        </is>
      </c>
      <c r="F156" t="inlineStr">
        <is>
          <t>TOI 32,956 - opex 13182 - dự phòng 11091</t>
        </is>
      </c>
      <c r="G156" t="inlineStr">
        <is>
          <t>+13.8% CK. Hàm ý LNTT 2H26 4547 tỷ = 15x nền 2H25 (297 tỷ) và +9.9% so với 1H26</t>
        </is>
      </c>
    </row>
    <row r="157">
      <c r="A157" t="inlineStr">
        <is>
          <t>R9</t>
        </is>
      </c>
      <c r="B157" t="inlineStr">
        <is>
          <t>Dự phòng P&amp;L FY26F</t>
        </is>
      </c>
      <c r="C157" t="inlineStr">
        <is>
          <t>11091</t>
        </is>
      </c>
      <c r="D157" t="inlineStr">
        <is>
          <t>VNDbn</t>
        </is>
      </c>
      <c r="E157" t="inlineStr">
        <is>
          <t>DERIVED</t>
        </is>
      </c>
      <c r="F157" t="inlineStr">
        <is>
          <t>chung 687 + cụ thể 10,027 + VAMC 377</t>
        </is>
      </c>
      <c r="G157" t="inlineStr">
        <is>
          <t>-2.6% CK so với 11,384 của FY25; gần như không đổi so với 10,889 của bản trước</t>
        </is>
      </c>
    </row>
    <row r="158">
      <c r="A158" t="inlineStr">
        <is>
          <t>C1</t>
        </is>
      </c>
      <c r="B158" t="inlineStr">
        <is>
          <t>Model!X284 dự phòng cụ thể đầu kỳ</t>
        </is>
      </c>
      <c r="C158" t="inlineStr">
        <is>
          <t>4,891 -&gt; 16,078</t>
        </is>
      </c>
      <c r="D158" t="inlineStr">
        <is>
          <t>VNDbn</t>
        </is>
      </c>
      <c r="E158" t="inlineStr">
        <is>
          <t>CONFLICT</t>
        </is>
      </c>
      <c r="F158" t="inlineStr">
        <is>
          <t>Model!X264 (BCĐKT FY25) = 20,056 nhưng bảng chuyển động X274+X284 chỉ 8,869</t>
        </is>
      </c>
      <c r="G158" t="inlineStr">
        <is>
          <t>Lỗi có sẵn trong model: mọi tỷ lệ bao phủ dự phóng trước đây đều vô nghĩa. Đã sửa để X274+X284 = 20,056</t>
        </is>
      </c>
    </row>
    <row r="159">
      <c r="A159" t="inlineStr">
        <is>
          <t>G14</t>
        </is>
      </c>
      <c r="B159" t="inlineStr">
        <is>
          <t>Cân đối kế toán lệch sau khi sửa X284</t>
        </is>
      </c>
      <c r="C159" t="inlineStr">
        <is>
          <t>-6,755</t>
        </is>
      </c>
      <c r="D159" t="inlineStr">
        <is>
          <t>VNDbn</t>
        </is>
      </c>
      <c r="E159" t="inlineStr">
        <is>
          <t>GAP</t>
        </is>
      </c>
      <c r="F159" t="inlineStr">
        <is>
          <t>Model!Y103 = Y61 - Y102; dự phòng tăng làm cho vay thuần giảm 6,146, VCSH tăng 609</t>
        </is>
      </c>
      <c r="G159" t="inlineStr">
        <is>
          <t>CHƯA XỬ LÝ — cần chốt khoản mục bù (huy động hoặc tiền gửi liên ngân hàng) trước khi phát hành. Tổng tài sản trên slide = số đã công bố trừ 6,146</t>
        </is>
      </c>
    </row>
    <row r="160">
      <c r="A160" t="inlineStr">
        <is>
          <t>G15</t>
        </is>
      </c>
      <c r="B160" t="inlineStr">
        <is>
          <t>Giá mục tiêu vs sheet Valuation</t>
        </is>
      </c>
      <c r="C160" t="inlineStr">
        <is>
          <t>77,800 vs 65,600</t>
        </is>
      </c>
      <c r="D160" t="inlineStr">
        <is>
          <t>VND</t>
        </is>
      </c>
      <c r="E160" t="inlineStr">
        <is>
          <t>CONFLICT</t>
        </is>
      </c>
      <c r="F160" t="inlineStr">
        <is>
          <t>Valuation!B1 = J16 = P/B hợp lý FY27F x BPS FY27F</t>
        </is>
      </c>
      <c r="G160" t="inlineStr">
        <is>
          <t>Sheet Valuation cho 56,100 trước điều chỉnh và ~65,600 sau (ROE bền vững FY27F lên 15.5%, BPS 37,822). Slide vẫn để 77,800 — CHƯA ĐỊNH GIÁ LẠI, cần CV quyết</t>
        </is>
      </c>
    </row>
    <row r="161">
      <c r="A161" t="inlineStr">
        <is>
          <t>G16</t>
        </is>
      </c>
      <c r="B161" t="inlineStr">
        <is>
          <t>Giá mục tiêu ghi 77,500 trong file stock pick</t>
        </is>
      </c>
      <c r="C161" t="inlineStr">
        <is>
          <t>77,500 vs 77,800</t>
        </is>
      </c>
      <c r="D161" t="inlineStr">
        <is>
          <t>VND</t>
        </is>
      </c>
      <c r="E161" t="inlineStr">
        <is>
          <t>CONFLICT</t>
        </is>
      </c>
      <c r="F161" t="inlineStr">
        <is>
          <t>Stock Pick!D6 và Target Price!C13 ghi 77,500; cột J6/L6 lại tính trên 77,800</t>
        </is>
      </c>
      <c r="G161" t="inlineStr">
        <is>
          <t>CHƯA SỬA — chênh 0.4%, cần CV xác nhận số nào đúng</t>
        </is>
      </c>
    </row>
    <row r="162">
      <c r="A162" t="inlineStr">
        <is>
          <t>G17</t>
        </is>
      </c>
      <c r="B162" t="inlineStr">
        <is>
          <t>Tăng trưởng tín dụng FY26F 11.7% vs 1.5% thực hiện 1H26</t>
        </is>
      </c>
      <c r="E162" t="inlineStr">
        <is>
          <t>GAP</t>
        </is>
      </c>
      <c r="F162" t="inlineStr">
        <is>
          <t>Model!Y206 = 10.1%; slide ghi 11.7%</t>
        </is>
      </c>
      <c r="G162" t="inlineStr">
        <is>
          <t>CHƯA XỬ LÝ — hạ giả định này sẽ kéo NII, TOI và cả mẫu số của NPL/CIR</t>
        </is>
      </c>
    </row>
    <row r="163">
      <c r="A163" t="inlineStr">
        <is>
          <t>G18</t>
        </is>
      </c>
      <c r="B163" t="inlineStr">
        <is>
          <t>Model chưa mở lại bằng Excel</t>
        </is>
      </c>
      <c r="E163" t="inlineStr">
        <is>
          <t>GAP</t>
        </is>
      </c>
      <c r="F163" t="inlineStr">
        <is>
          <t>fullCalcOnLoad=1 đã bật</t>
        </is>
      </c>
      <c r="G163" t="inlineStr">
        <is>
          <t>Toàn bộ số ở trên tính lại bằng Python theo đúng chuỗi công thức của model (fix_stb_model.cascade); cần mở Excel đối chiếu trước khi phát 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9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  <row r="223">
      <c r="A223" t="inlineStr">
        <is>
          <t>FPT — CHẠY LẠI DCF (chi phí nợ 9.0%)</t>
        </is>
      </c>
      <c r="B223" s="5" t="n"/>
    </row>
    <row r="224">
      <c r="A224" s="6" t="inlineStr">
        <is>
          <t>Thay đổi của analyst</t>
        </is>
      </c>
      <c r="B224" s="6" t="inlineStr">
        <is>
          <t>Valuation!C18 chi phí nợ 11.5% -&gt; 9.0%</t>
        </is>
      </c>
      <c r="C224" s="6" t="n"/>
      <c r="D224" s="6" t="inlineStr">
        <is>
          <t>ANALYST</t>
        </is>
      </c>
    </row>
    <row r="225">
      <c r="A225" s="6" t="inlineStr">
        <is>
          <t>Chi phí nợ thực tế 1H26</t>
        </is>
      </c>
      <c r="B225" s="6" t="inlineStr">
        <is>
          <t>392.0 lãi vay / 19,761 dư nợ bình quân = 3.97%</t>
        </is>
      </c>
      <c r="C225" s="6" t="n"/>
      <c r="D225" s="6" t="inlineStr">
        <is>
          <t>COMPANY</t>
        </is>
      </c>
    </row>
    <row r="226">
      <c r="A226" t="inlineStr">
        <is>
          <t>Tình trạng sheet Valuation trước khi chạy</t>
        </is>
      </c>
      <c r="B226" s="5" t="n"/>
    </row>
    <row r="227">
      <c r="A227" s="6" t="inlineStr">
        <is>
          <t>Kết quả của chính sheet</t>
        </is>
      </c>
      <c r="B227" s="6" t="inlineStr">
        <is>
          <t>106,668đ/cp — KHÔNG khớp giá mục tiêu 78,750 đã công bố</t>
        </is>
      </c>
      <c r="C227" s="6" t="inlineStr">
        <is>
          <t>REJECTED</t>
        </is>
      </c>
      <c r="D227" s="6" t="inlineStr">
        <is>
          <t>MODEL</t>
        </is>
      </c>
    </row>
    <row r="228">
      <c r="A228" s="6" t="inlineStr">
        <is>
          <t>Nợ ròng dùng cột FY24</t>
        </is>
      </c>
      <c r="B228" s="6" t="inlineStr">
        <is>
          <t>BS!O6/O7/O50/O53 — phải là FY26F</t>
        </is>
      </c>
      <c r="C228" s="6" t="inlineStr">
        <is>
          <t>REJECTED</t>
        </is>
      </c>
      <c r="D228" s="6" t="inlineStr">
        <is>
          <t>MODEL</t>
        </is>
      </c>
    </row>
    <row r="229">
      <c r="A229" s="6" t="inlineStr">
        <is>
          <t xml:space="preserve">  tiền ròng dùng 16,153</t>
        </is>
      </c>
      <c r="B229" s="6" t="inlineStr">
        <is>
          <t>thực tế 30/06/26 là 10,523</t>
        </is>
      </c>
      <c r="C229" s="6" t="inlineStr">
        <is>
          <t>REJECTED</t>
        </is>
      </c>
      <c r="D229" s="6" t="inlineStr">
        <is>
          <t>COMPANY</t>
        </is>
      </c>
    </row>
    <row r="230">
      <c r="A230" s="6" t="inlineStr">
        <is>
          <t>Capex FY26F dương +349</t>
        </is>
      </c>
      <c r="B230" s="6" t="inlineStr">
        <is>
          <t>tức là bán tài sản ròng — vô lý</t>
        </is>
      </c>
      <c r="C230" s="6" t="inlineStr">
        <is>
          <t>REJECTED</t>
        </is>
      </c>
      <c r="D230" s="6" t="inlineStr">
        <is>
          <t>MODEL</t>
        </is>
      </c>
    </row>
    <row r="231">
      <c r="A231" s="6" t="inlineStr">
        <is>
          <t>Terminal g cache 2.5%</t>
        </is>
      </c>
      <c r="B231" s="6" t="inlineStr">
        <is>
          <t>ô nhập C7 = 1.5%</t>
        </is>
      </c>
      <c r="C231" s="6" t="inlineStr">
        <is>
          <t>REJECTED</t>
        </is>
      </c>
      <c r="D231" s="6" t="inlineStr">
        <is>
          <t>MODEL</t>
        </is>
      </c>
    </row>
    <row r="232">
      <c r="A232" s="6" t="inlineStr">
        <is>
          <t>Phần FCFE</t>
        </is>
      </c>
      <c r="B232" s="6" t="inlineStr">
        <is>
          <t>toàn bộ #REF!</t>
        </is>
      </c>
      <c r="C232" s="6" t="inlineStr">
        <is>
          <t>REJECTED</t>
        </is>
      </c>
      <c r="D232" s="6" t="inlineStr">
        <is>
          <t>MODEL</t>
        </is>
      </c>
    </row>
    <row r="233">
      <c r="A233" s="6" t="inlineStr">
        <is>
          <t>KẾT LUẬN</t>
        </is>
      </c>
      <c r="B233" s="6" t="inlineStr">
        <is>
          <t>không thể "chạy lại" — phải dựng lại</t>
        </is>
      </c>
      <c r="C233" s="6" t="n"/>
      <c r="D233" s="6" t="inlineStr">
        <is>
          <t>ANALYST</t>
        </is>
      </c>
    </row>
    <row r="234">
      <c r="A234" t="inlineStr">
        <is>
          <t>Cấu trúc dựng lại — tổng của các phần</t>
        </is>
      </c>
      <c r="B234" s="5" t="n"/>
    </row>
    <row r="235">
      <c r="A235" s="6" t="inlineStr">
        <is>
          <t>Ngày định giá</t>
        </is>
      </c>
      <c r="B235" s="6" t="inlineStr">
        <is>
          <t>30/06/2026 (theo BCTC đã nộp)</t>
        </is>
      </c>
      <c r="C235" s="6" t="n"/>
      <c r="D235" s="6" t="inlineStr">
        <is>
          <t>COMPANY</t>
        </is>
      </c>
    </row>
    <row r="236">
      <c r="A236" s="6">
        <f> PV(FCFF hoạt động lõi) + LK + tiền ròng</f>
        <v/>
      </c>
      <c r="B236" s="6" t="inlineStr">
        <is>
          <t>đúng cấu trúc sau khi FOX thành liên kết</t>
        </is>
      </c>
      <c r="C236" s="6" t="n"/>
      <c r="D236" s="6" t="inlineStr">
        <is>
          <t>ANALYST</t>
        </is>
      </c>
    </row>
    <row r="237">
      <c r="A237" s="6" t="inlineStr">
        <is>
          <t>EBIT lõi FY26-28F</t>
        </is>
      </c>
      <c r="B237" s="6" t="inlineStr">
        <is>
          <t>8,475 / 9,626 / 11,117</t>
        </is>
      </c>
      <c r="C237" s="6" t="inlineStr">
        <is>
          <t>từ P&amp;L đã dựng lại</t>
        </is>
      </c>
      <c r="D237" s="6" t="inlineStr">
        <is>
          <t>MAS</t>
        </is>
      </c>
    </row>
    <row r="238">
      <c r="A238" s="6" t="inlineStr">
        <is>
          <t>Thuế</t>
        </is>
      </c>
      <c r="B238" s="6" t="inlineStr">
        <is>
          <t>15.55%</t>
        </is>
      </c>
      <c r="C238" s="6" t="inlineStr">
        <is>
          <t>1H26 thực tế</t>
        </is>
      </c>
      <c r="D238" s="6" t="inlineStr">
        <is>
          <t>COMPANY</t>
        </is>
      </c>
    </row>
    <row r="239">
      <c r="A239" s="6" t="inlineStr">
        <is>
          <t>Tiền ròng</t>
        </is>
      </c>
      <c r="B239" s="6" t="inlineStr">
        <is>
          <t>10,523</t>
        </is>
      </c>
      <c r="C239" s="6" t="inlineStr">
        <is>
          <t>30/06/2026 đã nộp</t>
        </is>
      </c>
      <c r="D239" s="6" t="inlineStr">
        <is>
          <t>COMPANY</t>
        </is>
      </c>
    </row>
    <row r="240">
      <c r="A240" s="6" t="inlineStr">
        <is>
          <t>Công ty liên kết</t>
        </is>
      </c>
      <c r="B240" s="6" t="inlineStr">
        <is>
          <t>9,995 theo giá trị ghi sổ</t>
        </is>
      </c>
      <c r="C240" s="6" t="inlineStr">
        <is>
          <t>30/06/2026, TM 17</t>
        </is>
      </c>
      <c r="D240" s="6" t="inlineStr">
        <is>
          <t>COMPANY</t>
        </is>
      </c>
    </row>
    <row r="241">
      <c r="A241" s="6" t="inlineStr">
        <is>
          <t>Số cổ phiếu</t>
        </is>
      </c>
      <c r="B241" s="6" t="inlineStr">
        <is>
          <t>1,703,507,121</t>
        </is>
      </c>
      <c r="C241" s="6" t="inlineStr">
        <is>
          <t>TM 24</t>
        </is>
      </c>
      <c r="D241" s="6" t="inlineStr">
        <is>
          <t>COMPANY</t>
        </is>
      </c>
    </row>
    <row r="242">
      <c r="A242" s="6" t="inlineStr">
        <is>
          <t>Chi phí vốn CSH</t>
        </is>
      </c>
      <c r="B242" s="6" t="inlineStr">
        <is>
          <t>13.27% (Rf 4.3% + ERP 8.966%)</t>
        </is>
      </c>
      <c r="C242" s="6" t="n"/>
      <c r="D242" s="6" t="inlineStr">
        <is>
          <t>MAS</t>
        </is>
      </c>
    </row>
    <row r="243">
      <c r="A243" s="6" t="inlineStr">
        <is>
          <t>Trọng số</t>
        </is>
      </c>
      <c r="B243" s="6" t="inlineStr">
        <is>
          <t>VCSH sổ sách 68.4% / nợ 31.6%</t>
        </is>
      </c>
      <c r="C243" s="6" t="inlineStr">
        <is>
          <t>theo quy ước của model</t>
        </is>
      </c>
      <c r="D243" s="6" t="inlineStr">
        <is>
          <t>MAS</t>
        </is>
      </c>
    </row>
    <row r="244">
      <c r="A244" s="6" t="inlineStr">
        <is>
          <t>WACC</t>
        </is>
      </c>
      <c r="B244" s="6" t="inlineStr">
        <is>
          <t>11.47% (từ 12.14%)</t>
        </is>
      </c>
      <c r="C244" s="6" t="n"/>
      <c r="D244" s="6" t="inlineStr">
        <is>
          <t>DERIVED</t>
        </is>
      </c>
    </row>
    <row r="245">
      <c r="A245" s="6" t="inlineStr">
        <is>
          <t>Terminal g</t>
        </is>
      </c>
      <c r="B245" s="6" t="inlineStr">
        <is>
          <t>1.5%</t>
        </is>
      </c>
      <c r="C245" s="6" t="n"/>
      <c r="D245" s="6" t="inlineStr">
        <is>
          <t>MAS</t>
        </is>
      </c>
    </row>
    <row r="246">
      <c r="A246" s="6" t="inlineStr">
        <is>
          <t>ƯỚC LƯỢNG — không có nguồn</t>
        </is>
      </c>
      <c r="B246" s="6" t="inlineStr">
        <is>
          <t>capex 5.0% DT · KH 4.0% DT · vốn lưu động 12% mức tăng DT</t>
        </is>
      </c>
      <c r="C246" s="6" t="inlineStr">
        <is>
          <t>GAP</t>
        </is>
      </c>
      <c r="D246" s="6" t="inlineStr">
        <is>
          <t>ANALYST</t>
        </is>
      </c>
    </row>
    <row r="247">
      <c r="A247" s="6" t="inlineStr">
        <is>
          <t>Lý do phải ước lượng</t>
        </is>
      </c>
      <c r="B247" s="6" t="inlineStr">
        <is>
          <t>BS!229-245 vẫn còn FPT Telecom; BCTC quý không có LCTT</t>
        </is>
      </c>
      <c r="C247" s="6" t="n"/>
      <c r="D247" s="6" t="inlineStr">
        <is>
          <t>ANALYST</t>
        </is>
      </c>
    </row>
    <row r="248">
      <c r="A248" t="inlineStr">
        <is>
          <t>Kết quả</t>
        </is>
      </c>
      <c r="B248" s="5" t="n"/>
    </row>
    <row r="249">
      <c r="A249" s="6" t="inlineStr">
        <is>
          <t>PV dòng tiền 2H26-FY28F</t>
        </is>
      </c>
      <c r="B249" s="6" t="inlineStr">
        <is>
          <t>15,037</t>
        </is>
      </c>
      <c r="C249" s="6" t="n"/>
      <c r="D249" s="6" t="inlineStr">
        <is>
          <t>DERIVED</t>
        </is>
      </c>
    </row>
    <row r="250">
      <c r="A250" s="6" t="inlineStr">
        <is>
          <t>PV giá trị cuối</t>
        </is>
      </c>
      <c r="B250" s="6" t="inlineStr">
        <is>
          <t>61,765 (80% EV)</t>
        </is>
      </c>
      <c r="C250" s="6" t="n"/>
      <c r="D250" s="6" t="inlineStr">
        <is>
          <t>DERIVED</t>
        </is>
      </c>
    </row>
    <row r="251">
      <c r="A251" s="6" t="inlineStr">
        <is>
          <t>Giá trị vốn CSH</t>
        </is>
      </c>
      <c r="B251" s="6" t="inlineStr">
        <is>
          <t>97,319</t>
        </is>
      </c>
      <c r="C251" s="6" t="n"/>
      <c r="D251" s="6" t="inlineStr">
        <is>
          <t>DERIVED</t>
        </is>
      </c>
    </row>
    <row r="252">
      <c r="A252" s="6" t="inlineStr">
        <is>
          <t>GIÁ TRỊ MỖI CỔ PHẦN</t>
        </is>
      </c>
      <c r="B252" s="6" t="inlineStr">
        <is>
          <t>57,129 đ</t>
        </is>
      </c>
      <c r="C252" s="6" t="n"/>
      <c r="D252" s="6" t="inlineStr">
        <is>
          <t>DERIVED</t>
        </is>
      </c>
    </row>
    <row r="253">
      <c r="A253" s="6" t="inlineStr">
        <is>
          <t>So với thị giá 62,900</t>
        </is>
      </c>
      <c r="B253" s="6" t="inlineStr">
        <is>
          <t>-9.2%</t>
        </is>
      </c>
      <c r="C253" s="6" t="n"/>
      <c r="D253" s="6" t="inlineStr">
        <is>
          <t>DERIVED</t>
        </is>
      </c>
    </row>
    <row r="254">
      <c r="A254" s="6" t="inlineStr">
        <is>
          <t>So với GMT công bố 78,750</t>
        </is>
      </c>
      <c r="B254" s="6" t="inlineStr">
        <is>
          <t>-27.5%</t>
        </is>
      </c>
      <c r="C254" s="6" t="n"/>
      <c r="D254" s="6" t="inlineStr">
        <is>
          <t>DERIVED</t>
        </is>
      </c>
    </row>
    <row r="255">
      <c r="A255" s="6" t="inlineStr">
        <is>
          <t>Riêng thay đổi chi phí nợ</t>
        </is>
      </c>
      <c r="B255" s="6" t="inlineStr">
        <is>
          <t>+2,746đ (+5.0%) — làm TĂNG giá trị</t>
        </is>
      </c>
      <c r="C255" s="6" t="inlineStr">
        <is>
          <t>CHECK</t>
        </is>
      </c>
      <c r="D255" s="6" t="inlineStr">
        <is>
          <t>DERIVED</t>
        </is>
      </c>
    </row>
    <row r="256">
      <c r="A256" s="6" t="inlineStr">
        <is>
          <t>Khoảng nhạy capex 4.0-6.0%</t>
        </is>
      </c>
      <c r="B256" s="6" t="inlineStr">
        <is>
          <t>52,687 - 61,570 đ</t>
        </is>
      </c>
      <c r="C256" s="6" t="n"/>
      <c r="D256" s="6" t="inlineStr">
        <is>
          <t>DERIVED</t>
        </is>
      </c>
    </row>
    <row r="257">
      <c r="A257" s="6" t="inlineStr">
        <is>
          <t>Khoảng nhạy WACC ±1%, g 0.5-2.5%</t>
        </is>
      </c>
      <c r="B257" s="6" t="inlineStr">
        <is>
          <t>50,148 - 67,603 đ</t>
        </is>
      </c>
      <c r="C257" s="6" t="n"/>
      <c r="D257" s="6" t="inlineStr">
        <is>
          <t>DERIVED</t>
        </is>
      </c>
    </row>
    <row r="258">
      <c r="A258" s="6" t="inlineStr">
        <is>
          <t>LK theo thị giá 1.0x-2.5x sổ sách</t>
        </is>
      </c>
      <c r="B258" s="6" t="inlineStr">
        <is>
          <t>57,129 - 65,929 đ</t>
        </is>
      </c>
      <c r="C258" s="6" t="inlineStr">
        <is>
          <t>FOX/FRT/FOC đều niêm yết</t>
        </is>
      </c>
      <c r="D258" s="6" t="inlineStr">
        <is>
          <t>GAP</t>
        </is>
      </c>
    </row>
    <row r="259">
      <c r="A259" t="inlineStr">
        <is>
          <t>HÀM Ý — CHƯA THỰC HIỆN</t>
        </is>
      </c>
      <c r="B259" s="5" t="n"/>
    </row>
    <row r="260">
      <c r="A260" s="6" t="inlineStr">
        <is>
          <t>GMT 78,750 hiện tại</t>
        </is>
      </c>
      <c r="B260" s="6" t="inlineStr">
        <is>
          <t>không có chỗ nào trong file tái lập được con số này</t>
        </is>
      </c>
      <c r="C260" s="6" t="inlineStr">
        <is>
          <t>GAP</t>
        </is>
      </c>
      <c r="D260" s="6" t="inlineStr">
        <is>
          <t>ANALYST</t>
        </is>
      </c>
    </row>
    <row r="261">
      <c r="A261" s="6" t="inlineStr">
        <is>
          <t>Nếu lấy 57,129</t>
        </is>
      </c>
      <c r="B261" s="6" t="inlineStr">
        <is>
          <t>thấp hơn thị giá -&gt; khuyến nghị chuyển từ MUA sang NẮM GIỮ/BÁN</t>
        </is>
      </c>
      <c r="C261" s="6" t="inlineStr">
        <is>
          <t>GAP</t>
        </is>
      </c>
      <c r="D261" s="6" t="inlineStr">
        <is>
          <t>ANALYST</t>
        </is>
      </c>
    </row>
    <row r="262">
      <c r="A262" s="6" t="inlineStr">
        <is>
          <t>Chưa cascade</t>
        </is>
      </c>
      <c r="B262" s="6" t="inlineStr">
        <is>
          <t>giá mục tiêu và khuyến nghị trên slide GIỮ NGUYÊN chờ quyết định</t>
        </is>
      </c>
      <c r="C262" s="6" t="n"/>
      <c r="D262" s="6" t="inlineStr">
        <is>
          <t>MAS</t>
        </is>
      </c>
    </row>
    <row r="263">
      <c r="A263" s="6" t="inlineStr">
        <is>
          <t>Việc cần làm trước</t>
        </is>
      </c>
      <c r="B263" s="6" t="inlineStr">
        <is>
          <t>(1) lập lại BS (2) định giá LK theo thị giá (3) chốt capex</t>
        </is>
      </c>
      <c r="C263" s="6" t="n"/>
      <c r="D263" s="6" t="inlineStr">
        <is>
          <t>ANALYST</t>
        </is>
      </c>
    </row>
    <row r="265">
      <c r="A265" t="inlineStr">
        <is>
          <t>SLIDE VIẾT LẠI THEO MODEL GỐC (FPT_2Q26.xlsx, analyst tải lên 03/08)</t>
        </is>
      </c>
      <c r="B265" s="5" t="n"/>
    </row>
    <row r="266">
      <c r="A266" s="6" t="inlineStr">
        <is>
          <t>Quyết định</t>
        </is>
      </c>
      <c r="B266" s="6" t="inlineStr">
        <is>
          <t>analyst chọn: slide lấy theo model gốc, KHÔNG dùng bản chỉnh theo BCTC</t>
        </is>
      </c>
      <c r="C266" s="6" t="n"/>
      <c r="D266" s="6" t="inlineStr">
        <is>
          <t>ANALYST</t>
        </is>
      </c>
    </row>
    <row r="267">
      <c r="A267" s="6" t="inlineStr">
        <is>
          <t>Trạng thái file</t>
        </is>
      </c>
      <c r="B267" s="6" t="inlineStr">
        <is>
          <t>đã được Excel tính lại; chi phí nợ 9.0%; các giá trị là số sống</t>
        </is>
      </c>
      <c r="C267" s="6" t="inlineStr">
        <is>
          <t>đạt</t>
        </is>
      </c>
      <c r="D267" s="6" t="inlineStr">
        <is>
          <t>CHECK</t>
        </is>
      </c>
    </row>
    <row r="268">
      <c r="A268" t="inlineStr">
        <is>
          <t>Chỉ tiêu</t>
        </is>
      </c>
      <c r="B268" s="5" t="inlineStr">
        <is>
          <t>FY26F</t>
        </is>
      </c>
      <c r="C268" t="inlineStr">
        <is>
          <t>FY27F</t>
        </is>
      </c>
      <c r="D268" t="inlineStr">
        <is>
          <t>FY28F</t>
        </is>
      </c>
    </row>
    <row r="269">
      <c r="A269" s="6" t="inlineStr">
        <is>
          <t>Doanh thu</t>
        </is>
      </c>
      <c r="B269" s="6" t="inlineStr">
        <is>
          <t>57,284</t>
        </is>
      </c>
      <c r="C269" s="6" t="inlineStr">
        <is>
          <t>66,048</t>
        </is>
      </c>
      <c r="D269" s="6" t="inlineStr">
        <is>
          <t>76,654</t>
        </is>
      </c>
    </row>
    <row r="270">
      <c r="A270" s="6" t="inlineStr">
        <is>
          <t>LN hoạt động</t>
        </is>
      </c>
      <c r="B270" s="6" t="inlineStr">
        <is>
          <t>9,807</t>
        </is>
      </c>
      <c r="C270" s="6" t="inlineStr">
        <is>
          <t>11,044</t>
        </is>
      </c>
      <c r="D270" s="6" t="inlineStr">
        <is>
          <t>13,053</t>
        </is>
      </c>
    </row>
    <row r="271">
      <c r="A271" s="6" t="inlineStr">
        <is>
          <t>LNTT</t>
        </is>
      </c>
      <c r="B271" s="6" t="inlineStr">
        <is>
          <t>13,070</t>
        </is>
      </c>
      <c r="C271" s="6" t="inlineStr">
        <is>
          <t>15,159</t>
        </is>
      </c>
      <c r="D271" s="6" t="inlineStr">
        <is>
          <t>17,671</t>
        </is>
      </c>
    </row>
    <row r="272">
      <c r="A272" s="6" t="inlineStr">
        <is>
          <t>LNST-CĐTS</t>
        </is>
      </c>
      <c r="B272" s="6" t="inlineStr">
        <is>
          <t>10,944</t>
        </is>
      </c>
      <c r="C272" s="6" t="inlineStr">
        <is>
          <t>12,674</t>
        </is>
      </c>
      <c r="D272" s="6" t="inlineStr">
        <is>
          <t>14,774</t>
        </is>
      </c>
    </row>
    <row r="273">
      <c r="A273" s="6" t="inlineStr">
        <is>
          <t>Tăng trưởng</t>
        </is>
      </c>
      <c r="B273" s="6" t="inlineStr">
        <is>
          <t>+15.6%</t>
        </is>
      </c>
      <c r="C273" s="6" t="inlineStr">
        <is>
          <t>+15.8%</t>
        </is>
      </c>
      <c r="D273" s="6" t="inlineStr">
        <is>
          <t>+16.6%</t>
        </is>
      </c>
    </row>
    <row r="274">
      <c r="A274" s="6" t="inlineStr">
        <is>
          <t>EPS (1,703.5 triệu cp)</t>
        </is>
      </c>
      <c r="B274" s="6" t="inlineStr">
        <is>
          <t>6,424</t>
        </is>
      </c>
      <c r="C274" s="6" t="inlineStr">
        <is>
          <t>7,440</t>
        </is>
      </c>
      <c r="D274" s="6" t="inlineStr">
        <is>
          <t>8,673</t>
        </is>
      </c>
    </row>
    <row r="275">
      <c r="A275" s="6" t="inlineStr">
        <is>
          <t>P/E tại GMT</t>
        </is>
      </c>
      <c r="B275" s="6" t="inlineStr">
        <is>
          <t>13.7</t>
        </is>
      </c>
      <c r="C275" s="6" t="inlineStr">
        <is>
          <t>11.8</t>
        </is>
      </c>
      <c r="D275" s="6" t="inlineStr">
        <is>
          <t>10.1</t>
        </is>
      </c>
    </row>
    <row r="276">
      <c r="A276" s="6" t="inlineStr">
        <is>
          <t>P/B tại GMT</t>
        </is>
      </c>
      <c r="B276" s="6" t="inlineStr">
        <is>
          <t>3.5</t>
        </is>
      </c>
      <c r="C276" s="6" t="inlineStr">
        <is>
          <t>3.0</t>
        </is>
      </c>
      <c r="D276" s="6" t="inlineStr">
        <is>
          <t>2.5</t>
        </is>
      </c>
    </row>
    <row r="277">
      <c r="A277" s="6" t="inlineStr">
        <is>
          <t>ROE</t>
        </is>
      </c>
      <c r="B277" s="6" t="inlineStr">
        <is>
          <t>27.6%</t>
        </is>
      </c>
      <c r="C277" s="6" t="inlineStr">
        <is>
          <t>27.1%</t>
        </is>
      </c>
      <c r="D277" s="6" t="inlineStr">
        <is>
          <t>26.5%</t>
        </is>
      </c>
    </row>
    <row r="278">
      <c r="A278" t="inlineStr">
        <is>
          <t>Định giá</t>
        </is>
      </c>
      <c r="B278" s="5" t="n"/>
    </row>
    <row r="279">
      <c r="A279" s="6" t="inlineStr">
        <is>
          <t>Giá mục tiêu</t>
        </is>
      </c>
      <c r="B279" s="6" t="inlineStr">
        <is>
          <t>87,950đ (model: 87,946, làm tròn 50)</t>
        </is>
      </c>
      <c r="C279" s="6" t="inlineStr">
        <is>
          <t>từ 78,750đ</t>
        </is>
      </c>
      <c r="D279" s="6" t="inlineStr">
        <is>
          <t>MODEL</t>
        </is>
      </c>
    </row>
    <row r="280">
      <c r="A280" s="6" t="inlineStr">
        <is>
          <t>Thị giá</t>
        </is>
      </c>
      <c r="B280" s="6" t="inlineStr">
        <is>
          <t>71,700đ</t>
        </is>
      </c>
      <c r="C280" s="6" t="inlineStr">
        <is>
          <t>Valuation!J23</t>
        </is>
      </c>
      <c r="D280" s="6" t="inlineStr">
        <is>
          <t>MODEL</t>
        </is>
      </c>
    </row>
    <row r="281">
      <c r="A281" s="6" t="inlineStr">
        <is>
          <t>Tiềm năng tăng</t>
        </is>
      </c>
      <c r="B281" s="6" t="inlineStr">
        <is>
          <t>+22.7%</t>
        </is>
      </c>
      <c r="C281" s="6" t="n"/>
      <c r="D281" s="6" t="inlineStr">
        <is>
          <t>DERIVED</t>
        </is>
      </c>
    </row>
    <row r="282">
      <c r="A282" s="6" t="inlineStr">
        <is>
          <t>Chi phí nợ</t>
        </is>
      </c>
      <c r="B282" s="6" t="inlineStr">
        <is>
          <t>9.0% (từ 11.5%)</t>
        </is>
      </c>
      <c r="C282" s="6" t="inlineStr">
        <is>
          <t>thực tế 1H26: 4.0%</t>
        </is>
      </c>
      <c r="D282" s="6" t="inlineStr">
        <is>
          <t>ANALYST</t>
        </is>
      </c>
    </row>
    <row r="283">
      <c r="A283" s="6" t="inlineStr">
        <is>
          <t>WACC</t>
        </is>
      </c>
      <c r="B283" s="6" t="inlineStr">
        <is>
          <t>11.39% (từ 12.08%)</t>
        </is>
      </c>
      <c r="C283" s="6" t="n"/>
      <c r="D283" s="6" t="inlineStr">
        <is>
          <t>MODEL</t>
        </is>
      </c>
    </row>
    <row r="284">
      <c r="A284" s="6" t="inlineStr">
        <is>
          <t>Chi phí vốn CSH / g</t>
        </is>
      </c>
      <c r="B284" s="6" t="inlineStr">
        <is>
          <t>13.27% / 1.5%</t>
        </is>
      </c>
      <c r="C284" s="6" t="inlineStr">
        <is>
          <t>giữ nguyên</t>
        </is>
      </c>
      <c r="D284" s="6" t="inlineStr">
        <is>
          <t>MODEL</t>
        </is>
      </c>
    </row>
    <row r="285">
      <c r="A285" s="6" t="inlineStr">
        <is>
          <t>Số cổ phiếu</t>
        </is>
      </c>
      <c r="B285" s="6" t="inlineStr">
        <is>
          <t>1,703,507,121</t>
        </is>
      </c>
      <c r="C285" s="6" t="inlineStr">
        <is>
          <t>dùng cho CẢ EPS và BVPS (trước đây EPS dùng 1,810tr)</t>
        </is>
      </c>
      <c r="D285" s="6" t="inlineStr">
        <is>
          <t>MODEL</t>
        </is>
      </c>
    </row>
    <row r="286">
      <c r="A286" s="6" t="inlineStr">
        <is>
          <t>Ngày thị giá</t>
        </is>
      </c>
      <c r="B286" s="6" t="inlineStr">
        <is>
          <t>31/07/26 — SUY LUẬN, chưa xác nhận</t>
        </is>
      </c>
      <c r="C286" s="6" t="inlineStr">
        <is>
          <t>GAP</t>
        </is>
      </c>
      <c r="D286" s="6" t="inlineStr">
        <is>
          <t>MAS</t>
        </is>
      </c>
    </row>
    <row r="287">
      <c r="A287" t="inlineStr">
        <is>
          <t>NHỮNG ĐIỀU MODEL GỐC KHÔNG PHẢN ÁNH — đã nêu với analyst</t>
        </is>
      </c>
      <c r="B287" s="5" t="n"/>
    </row>
    <row r="288">
      <c r="A288" s="6" t="inlineStr">
        <is>
          <t>Thuế</t>
        </is>
      </c>
      <c r="B288" s="6" t="inlineStr">
        <is>
          <t>15% trên TOÀN BỘ LNTT gồm cả phần liên kết</t>
        </is>
      </c>
      <c r="C288" s="6" t="inlineStr">
        <is>
          <t>BCTC 1H26: 11.7% LNTT / 15.55% ngoài LK</t>
        </is>
      </c>
      <c r="D288" s="6" t="inlineStr">
        <is>
          <t>GAP</t>
        </is>
      </c>
    </row>
    <row r="289">
      <c r="A289" s="6" t="inlineStr">
        <is>
          <t>Biên lợi nhuận gộp</t>
        </is>
      </c>
      <c r="B289" s="6" t="inlineStr">
        <is>
          <t>34.72%</t>
        </is>
      </c>
      <c r="C289" s="6" t="inlineStr">
        <is>
          <t>1H26 thực hiện 32.448%</t>
        </is>
      </c>
      <c r="D289" s="6" t="inlineStr">
        <is>
          <t>GAP</t>
        </is>
      </c>
    </row>
    <row r="290">
      <c r="A290" s="6" t="inlineStr">
        <is>
          <t>Lợi ích CĐ không kiểm soát</t>
        </is>
      </c>
      <c r="B290" s="6" t="inlineStr">
        <is>
          <t>166 / 211 / 246</t>
        </is>
      </c>
      <c r="C290" s="6" t="inlineStr">
        <is>
          <t>1H26 thực tế -7.8</t>
        </is>
      </c>
      <c r="D290" s="6" t="inlineStr">
        <is>
          <t>GAP</t>
        </is>
      </c>
    </row>
    <row r="291">
      <c r="A291" s="6" t="inlineStr">
        <is>
          <t>Dòng liên kết FY26F</t>
        </is>
      </c>
      <c r="B291" s="6" t="inlineStr">
        <is>
          <t>2,608 (4.5525% doanh thu)</t>
        </is>
      </c>
      <c r="C291" s="6" t="inlineStr">
        <is>
          <t>1H26 thực tế 1,423.4 -&gt; cả năm ~2,847</t>
        </is>
      </c>
      <c r="D291" s="6" t="inlineStr">
        <is>
          <t>GAP</t>
        </is>
      </c>
    </row>
    <row r="292">
      <c r="A292" s="6" t="inlineStr">
        <is>
          <t>Bảng cân đối</t>
        </is>
      </c>
      <c r="B292" s="6" t="inlineStr">
        <is>
          <t>vẫn hợp nhất FPT Telecom</t>
        </is>
      </c>
      <c r="C292" s="6" t="inlineStr">
        <is>
          <t>tổng TS FY26F 91,917 vs 73,734 tại 30/06/26</t>
        </is>
      </c>
      <c r="D292" s="6" t="inlineStr">
        <is>
          <t>GAP</t>
        </is>
      </c>
    </row>
    <row r="293">
      <c r="A293" s="6" t="inlineStr">
        <is>
          <t>Lộ trình +14.6/15.2/15.7 analyst đặt</t>
        </is>
      </c>
      <c r="B293" s="6" t="inlineStr">
        <is>
          <t>không còn áp dụng</t>
        </is>
      </c>
      <c r="C293" s="6" t="inlineStr">
        <is>
          <t>thay bằng +15.6/15.8/16.6</t>
        </is>
      </c>
      <c r="D293" s="6" t="inlineStr">
        <is>
          <t>—</t>
        </is>
      </c>
    </row>
    <row r="294">
      <c r="A294" s="6" t="inlineStr">
        <is>
          <t>Đã giữ lại</t>
        </is>
      </c>
      <c r="B294" s="6" t="inlineStr">
        <is>
          <t>dẫn chứng doanh thu ký mới 1H26 (26,338, +32.3%) trong đoạn phân khúc</t>
        </is>
      </c>
      <c r="C294" s="6" t="n"/>
      <c r="D294" s="6" t="inlineStr">
        <is>
          <t>PRESS</t>
        </is>
      </c>
    </row>
    <row r="295">
      <c r="A295" s="6" t="inlineStr">
        <is>
          <t>Kiểm tra tự động</t>
        </is>
      </c>
      <c r="B295" s="6" t="inlineStr">
        <is>
          <t>check_fpt.py 62/62 đạt — slide đối chiếu trực tiếp với model gốc</t>
        </is>
      </c>
      <c r="C295" s="6" t="n"/>
      <c r="D295" s="6" t="inlineStr">
        <is>
          <t>CHECK</t>
        </is>
      </c>
    </row>
    <row r="296">
      <c r="A296" t="inlineStr">
        <is>
          <t>STB — SỬA CÂU VỀ DỰ PHÒNG</t>
        </is>
      </c>
      <c r="B296" s="5" t="n"/>
    </row>
    <row r="297">
      <c r="A297" s="6" t="inlineStr">
        <is>
          <t>Câu cũ</t>
        </is>
      </c>
      <c r="B297" s="6" t="inlineStr">
        <is>
          <t>dự phòng FY26F 10.4 nghìn tỷ "là chưa đủ"</t>
        </is>
      </c>
      <c r="C297" s="6" t="inlineStr">
        <is>
          <t>REJECTED</t>
        </is>
      </c>
      <c r="D297" s="6" t="inlineStr">
        <is>
          <t>MAS</t>
        </is>
      </c>
    </row>
    <row r="298">
      <c r="A298" s="6" t="inlineStr">
        <is>
          <t>Lý do sửa</t>
        </is>
      </c>
      <c r="B298" s="6" t="inlineStr">
        <is>
          <t>nhịp 1H26 (~5,307 x2 = 10,614) cho thấy 10.4 nghìn tỷ là hợp lý</t>
        </is>
      </c>
      <c r="C298" s="6" t="n"/>
      <c r="D298" s="6" t="inlineStr">
        <is>
          <t>DERIVED</t>
        </is>
      </c>
    </row>
    <row r="299">
      <c r="A299" s="6" t="inlineStr">
        <is>
          <t>Câu mới</t>
        </is>
      </c>
      <c r="B299" s="6" t="inlineStr">
        <is>
          <t>FY26F sát nhịp 1H26; điểm yếu là FY27F (chi phí tín dụng ~0.8% khi nợ xấu &gt;7%)</t>
        </is>
      </c>
      <c r="C299" s="6" t="n"/>
      <c r="D299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2026-08-04T07:18:33Z</dcterms:modified>
</cp:coreProperties>
</file>