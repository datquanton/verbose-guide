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1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  <row r="63">
      <c r="A63" t="inlineStr">
        <is>
          <t>FPT — DỰNG LẠI TRÊN BCTC HỢP NHẤT Q2/2026 CỦA CHÍNH FPT (ký 21/07/2026)</t>
        </is>
      </c>
      <c r="B63" s="5" t="n"/>
    </row>
    <row r="64">
      <c r="A64" t="inlineStr">
        <is>
          <t>Chỉ tiêu 1H26 (tỷ đồng)</t>
        </is>
      </c>
      <c r="B64" s="5" t="inlineStr">
        <is>
          <t>Số liệu</t>
        </is>
      </c>
      <c r="C64" t="inlineStr">
        <is>
          <t>Tỷ lệ</t>
        </is>
      </c>
      <c r="D64" t="inlineStr">
        <is>
          <t>Nguồn</t>
        </is>
      </c>
    </row>
    <row r="65">
      <c r="A65" s="6" t="inlineStr">
        <is>
          <t>Doanh thu thuần</t>
        </is>
      </c>
      <c r="B65" s="6" t="inlineStr">
        <is>
          <t>26,268.5</t>
        </is>
      </c>
      <c r="C65" s="6" t="n"/>
      <c r="D65" s="6" t="inlineStr">
        <is>
          <t>COMPANY (KQKD HN)</t>
        </is>
      </c>
    </row>
    <row r="66">
      <c r="A66" s="6" t="inlineStr">
        <is>
          <t>Giá vốn</t>
        </is>
      </c>
      <c r="B66" s="6" t="inlineStr">
        <is>
          <t>17,745.0</t>
        </is>
      </c>
      <c r="C66" s="6" t="inlineStr">
        <is>
          <t>67.552% DT</t>
        </is>
      </c>
      <c r="D66" s="6" t="inlineStr">
        <is>
          <t>COMPANY</t>
        </is>
      </c>
    </row>
    <row r="67">
      <c r="A67" s="6" t="inlineStr">
        <is>
          <t>Lợi nhuận gộp</t>
        </is>
      </c>
      <c r="B67" s="6" t="inlineStr">
        <is>
          <t>8,523.5</t>
        </is>
      </c>
      <c r="C67" s="6" t="inlineStr">
        <is>
          <t>32.448% DT</t>
        </is>
      </c>
      <c r="D67" s="6" t="inlineStr">
        <is>
          <t>COMPANY</t>
        </is>
      </c>
    </row>
    <row r="68">
      <c r="A68" s="6" t="inlineStr">
        <is>
          <t>Chi phí bán hàng</t>
        </is>
      </c>
      <c r="B68" s="6" t="inlineStr">
        <is>
          <t>2,151.4</t>
        </is>
      </c>
      <c r="C68" s="6" t="inlineStr">
        <is>
          <t>8.190% DT</t>
        </is>
      </c>
      <c r="D68" s="6" t="inlineStr">
        <is>
          <t>COMPANY</t>
        </is>
      </c>
    </row>
    <row r="69">
      <c r="A69" s="6" t="inlineStr">
        <is>
          <t>Chi phí quản lý</t>
        </is>
      </c>
      <c r="B69" s="6" t="inlineStr">
        <is>
          <t>2,492.9</t>
        </is>
      </c>
      <c r="C69" s="6" t="inlineStr">
        <is>
          <t>9.490% DT</t>
        </is>
      </c>
      <c r="D69" s="6" t="inlineStr">
        <is>
          <t>COMPANY</t>
        </is>
      </c>
    </row>
    <row r="70">
      <c r="A70" s="6" t="inlineStr">
        <is>
          <t>Doanh thu HĐ tài chính</t>
        </is>
      </c>
      <c r="B70" s="6" t="inlineStr">
        <is>
          <t>998.6</t>
        </is>
      </c>
      <c r="C70" s="6" t="n"/>
      <c r="D70" s="6" t="inlineStr">
        <is>
          <t>COMPANY (TM 27)</t>
        </is>
      </c>
    </row>
    <row r="71">
      <c r="A71" s="6" t="inlineStr">
        <is>
          <t xml:space="preserve">  - lãi tiền gửi</t>
        </is>
      </c>
      <c r="B71" s="6" t="inlineStr">
        <is>
          <t>813.2</t>
        </is>
      </c>
      <c r="C71" s="6" t="n"/>
      <c r="D71" s="6" t="inlineStr">
        <is>
          <t>COMPANY (TM 27)</t>
        </is>
      </c>
    </row>
    <row r="72">
      <c r="A72" s="6" t="inlineStr">
        <is>
          <t xml:space="preserve">  - lãi tỷ giá</t>
        </is>
      </c>
      <c r="B72" s="6" t="inlineStr">
        <is>
          <t>149.7</t>
        </is>
      </c>
      <c r="C72" s="6" t="n"/>
      <c r="D72" s="6" t="inlineStr">
        <is>
          <t>COMPANY (TM 27)</t>
        </is>
      </c>
    </row>
    <row r="73">
      <c r="A73" s="6" t="inlineStr">
        <is>
          <t xml:space="preserve">  - cổ tức, LN được chia</t>
        </is>
      </c>
      <c r="B73" s="6" t="inlineStr">
        <is>
          <t>33.3</t>
        </is>
      </c>
      <c r="C73" s="6" t="n"/>
      <c r="D73" s="6" t="inlineStr">
        <is>
          <t>COMPANY (TM 27)</t>
        </is>
      </c>
    </row>
    <row r="74">
      <c r="A74" s="6" t="inlineStr">
        <is>
          <t>Chi phí HĐ tài chính</t>
        </is>
      </c>
      <c r="B74" s="6" t="inlineStr">
        <is>
          <t>667.7</t>
        </is>
      </c>
      <c r="C74" s="6" t="n"/>
      <c r="D74" s="6" t="inlineStr">
        <is>
          <t>COMPANY (TM 28)</t>
        </is>
      </c>
    </row>
    <row r="75">
      <c r="A75" s="6" t="inlineStr">
        <is>
          <t xml:space="preserve">  - chi phí lãi vay</t>
        </is>
      </c>
      <c r="B75" s="6" t="inlineStr">
        <is>
          <t>392.0</t>
        </is>
      </c>
      <c r="C75" s="6" t="n"/>
      <c r="D75" s="6" t="inlineStr">
        <is>
          <t>COMPANY (TM 28)</t>
        </is>
      </c>
    </row>
    <row r="76">
      <c r="A76" s="6" t="inlineStr">
        <is>
          <t xml:space="preserve">  - lỗ tỷ giá</t>
        </is>
      </c>
      <c r="B76" s="6" t="inlineStr">
        <is>
          <t>209.9</t>
        </is>
      </c>
      <c r="C76" s="6" t="n"/>
      <c r="D76" s="6" t="inlineStr">
        <is>
          <t>COMPANY (TM 28)</t>
        </is>
      </c>
    </row>
    <row r="77">
      <c r="A77" s="6" t="inlineStr">
        <is>
          <t xml:space="preserve">  - dự phòng giảm giá đầu tư</t>
        </is>
      </c>
      <c r="B77" s="6" t="inlineStr">
        <is>
          <t>65.4</t>
        </is>
      </c>
      <c r="C77" s="6" t="n"/>
      <c r="D77" s="6" t="inlineStr">
        <is>
          <t>COMPANY (TM 28)</t>
        </is>
      </c>
    </row>
    <row r="78">
      <c r="A78" s="6">
        <f> Lãi HĐ tài chính thuần</f>
        <v/>
      </c>
      <c r="B78" s="6" t="inlineStr">
        <is>
          <t>330.9</t>
        </is>
      </c>
      <c r="C78" s="6" t="n"/>
      <c r="D78" s="6" t="inlineStr">
        <is>
          <t>DERIVED</t>
        </is>
      </c>
    </row>
    <row r="79">
      <c r="A79" s="6" t="inlineStr">
        <is>
          <t>LN từ công ty liên doanh, liên kết</t>
        </is>
      </c>
      <c r="B79" s="6" t="inlineStr">
        <is>
          <t>1,423.4</t>
        </is>
      </c>
      <c r="C79" s="6" t="n"/>
      <c r="D79" s="6" t="inlineStr">
        <is>
          <t>COMPANY</t>
        </is>
      </c>
    </row>
    <row r="80">
      <c r="A80" s="6" t="inlineStr">
        <is>
          <t>Chi phí thuế TNDN (hiện hành + hoãn lại)</t>
        </is>
      </c>
      <c r="B80" s="6" t="inlineStr">
        <is>
          <t>667.1</t>
        </is>
      </c>
      <c r="C80" s="6" t="inlineStr">
        <is>
          <t>15.55% phần ngoài LK</t>
        </is>
      </c>
      <c r="D80" s="6" t="inlineStr">
        <is>
          <t>COMPANY</t>
        </is>
      </c>
    </row>
    <row r="81">
      <c r="A81" s="6" t="inlineStr">
        <is>
          <t>Lợi ích cổ đông không kiểm soát</t>
        </is>
      </c>
      <c r="B81" s="6" t="inlineStr">
        <is>
          <t>-7.8</t>
        </is>
      </c>
      <c r="C81" s="6" t="inlineStr">
        <is>
          <t>≈ 0 sau thôi hợp nhất</t>
        </is>
      </c>
      <c r="D81" s="6" t="inlineStr">
        <is>
          <t>COMPANY</t>
        </is>
      </c>
    </row>
    <row r="82">
      <c r="A82" s="6" t="inlineStr">
        <is>
          <t>LNST-CĐTS</t>
        </is>
      </c>
      <c r="B82" s="6" t="inlineStr">
        <is>
          <t>5,055.0</t>
        </is>
      </c>
      <c r="C82" s="6" t="n"/>
      <c r="D82" s="6" t="inlineStr">
        <is>
          <t>COMPANY</t>
        </is>
      </c>
    </row>
    <row r="83">
      <c r="A83" t="inlineStr">
        <is>
          <t>CÔNG TY LIÊN KẾT — TM 17 (giải thích dòng 1,423.4)</t>
        </is>
      </c>
      <c r="B83" s="5" t="n"/>
    </row>
    <row r="84">
      <c r="A84" s="6" t="inlineStr">
        <is>
          <t>CTCP Viễn thông FPT (FOX)</t>
        </is>
      </c>
      <c r="B84" s="6" t="inlineStr">
        <is>
          <t>45.66%</t>
        </is>
      </c>
      <c r="C84" s="6" t="inlineStr">
        <is>
          <t>~857 trong 1H26</t>
        </is>
      </c>
      <c r="D84" s="6" t="inlineStr">
        <is>
          <t>COMPANY</t>
        </is>
      </c>
    </row>
    <row r="85">
      <c r="A85" s="6" t="inlineStr">
        <is>
          <t>CTCP Bán lẻ Kỹ thuật số FPT (FRT)</t>
        </is>
      </c>
      <c r="B85" s="6" t="inlineStr">
        <is>
          <t>46.54%</t>
        </is>
      </c>
      <c r="C85" s="6" t="n"/>
      <c r="D85" s="6" t="inlineStr">
        <is>
          <t>COMPANY</t>
        </is>
      </c>
    </row>
    <row r="86">
      <c r="A86" s="6" t="inlineStr">
        <is>
          <t>CTCP Synnex FPT</t>
        </is>
      </c>
      <c r="B86" s="6" t="inlineStr">
        <is>
          <t>48.00%</t>
        </is>
      </c>
      <c r="C86" s="6" t="n"/>
      <c r="D86" s="6" t="inlineStr">
        <is>
          <t>COMPANY</t>
        </is>
      </c>
    </row>
    <row r="87">
      <c r="A87" s="6" t="inlineStr">
        <is>
          <t>CTCP Dịch vụ Trực tuyến FPT</t>
        </is>
      </c>
      <c r="B87" s="6" t="inlineStr">
        <is>
          <t>49.52% (23.86% biểu quyết)</t>
        </is>
      </c>
      <c r="C87" s="6" t="n"/>
      <c r="D87" s="6" t="inlineStr">
        <is>
          <t>COMPANY</t>
        </is>
      </c>
    </row>
    <row r="88">
      <c r="A88" t="inlineStr">
        <is>
          <t>TIỀN GỬI — TM 6 (đóng lại câu hỏi về chứng chỉ tiền gửi)</t>
        </is>
      </c>
      <c r="B88" s="5" t="n"/>
    </row>
    <row r="89">
      <c r="A89" s="6" t="inlineStr">
        <is>
          <t>Tiền gửi có kỳ hạn 30/06/2026</t>
        </is>
      </c>
      <c r="B89" s="6" t="inlineStr">
        <is>
          <t>19,406.1</t>
        </is>
      </c>
      <c r="C89" s="6" t="inlineStr">
        <is>
          <t>100% VND</t>
        </is>
      </c>
      <c r="D89" s="6" t="inlineStr">
        <is>
          <t>COMPANY (TM 6)</t>
        </is>
      </c>
    </row>
    <row r="90">
      <c r="A90" s="6" t="inlineStr">
        <is>
          <t>Tiền gửi có kỳ hạn 31/12/2025</t>
        </is>
      </c>
      <c r="B90" s="6" t="inlineStr">
        <is>
          <t>29,631.0</t>
        </is>
      </c>
      <c r="C90" s="6" t="inlineStr">
        <is>
          <t>VND 28,465 / JPY 1,008 / EUR 158</t>
        </is>
      </c>
      <c r="D90" s="6" t="inlineStr">
        <is>
          <t>COMPANY (TM 6)</t>
        </is>
      </c>
    </row>
    <row r="91">
      <c r="A91" s="6" t="inlineStr">
        <is>
          <t>CHỨNG CHỈ TIỀN GỬI</t>
        </is>
      </c>
      <c r="B91" s="6" t="inlineStr">
        <is>
          <t>KHÔNG có — toàn bộ là tiền gửi ngân hàng</t>
        </is>
      </c>
      <c r="C91" s="6" t="n"/>
      <c r="D91" s="6" t="inlineStr">
        <is>
          <t>COMPANY (TM 6)</t>
        </is>
      </c>
    </row>
    <row r="92">
      <c r="A92" s="6" t="inlineStr">
        <is>
          <t>Tiền + tiền gửi, trừ FOX</t>
        </is>
      </c>
      <c r="B92" s="6" t="inlineStr">
        <is>
          <t>27,061 (31/12/25) -&gt; 28,472 (30/06/26)</t>
        </is>
      </c>
      <c r="C92" s="6" t="inlineStr">
        <is>
          <t>+10.7%/năm</t>
        </is>
      </c>
      <c r="D92" s="6" t="inlineStr">
        <is>
          <t>DERIVED</t>
        </is>
      </c>
    </row>
    <row r="93">
      <c r="A93" s="6" t="inlineStr">
        <is>
          <t>Suất sinh lời tiền gửi thực tế</t>
        </is>
      </c>
      <c r="B93" s="6" t="inlineStr">
        <is>
          <t>813.2 x2 / bình quân 27,766</t>
        </is>
      </c>
      <c r="C93" s="6" t="inlineStr">
        <is>
          <t>5.86%</t>
        </is>
      </c>
      <c r="D93" s="6" t="inlineStr">
        <is>
          <t>DERIVED</t>
        </is>
      </c>
    </row>
    <row r="94">
      <c r="A94" s="6" t="inlineStr">
        <is>
          <t>Tổng nợ vay 30/06/2026</t>
        </is>
      </c>
      <c r="B94" s="6" t="inlineStr">
        <is>
          <t>18,448.4</t>
        </is>
      </c>
      <c r="C94" s="6" t="inlineStr">
        <is>
          <t>từ 21,073.5</t>
        </is>
      </c>
      <c r="D94" s="6" t="inlineStr">
        <is>
          <t>COMPANY (TM 23)</t>
        </is>
      </c>
    </row>
    <row r="95">
      <c r="A95" t="inlineStr">
        <is>
          <t>GIẢ ĐỊNH MỚI — thay toàn bộ bản trước</t>
        </is>
      </c>
      <c r="B95" s="5" t="n"/>
    </row>
    <row r="96">
      <c r="A96" s="6" t="inlineStr">
        <is>
          <t>PL!Q11:S11 Giá vốn</t>
        </is>
      </c>
      <c r="B96" s="6" t="inlineStr">
        <is>
          <t>Revenue!J5 -&gt; =Q9*67.552%</t>
        </is>
      </c>
      <c r="C96" s="6" t="inlineStr">
        <is>
          <t>model giả định biên gộp 34.66%</t>
        </is>
      </c>
      <c r="D96" s="6" t="inlineStr">
        <is>
          <t>MAS</t>
        </is>
      </c>
    </row>
    <row r="97">
      <c r="A97" s="6" t="inlineStr">
        <is>
          <t>PL!Q19:S19 CPBH/DT</t>
        </is>
      </c>
      <c r="B97" s="6" t="inlineStr">
        <is>
          <t>8.00/7.62/7.15% -&gt; 8.167/8.180/8.105%</t>
        </is>
      </c>
      <c r="C97" s="6" t="inlineStr">
        <is>
          <t>bỏ đòn bẩy SG&amp;A tự đặt</t>
        </is>
      </c>
      <c r="D97" s="6" t="inlineStr">
        <is>
          <t>MAS</t>
        </is>
      </c>
    </row>
    <row r="98">
      <c r="A98" s="6" t="inlineStr">
        <is>
          <t>PL!Q20:S20 CPQL/DT</t>
        </is>
      </c>
      <c r="B98" s="6" t="inlineStr">
        <is>
          <t>9.6/9.5/9.3% -&gt; 9.464/9.478/9.391%</t>
        </is>
      </c>
      <c r="C98" s="6" t="n"/>
      <c r="D98" s="6" t="inlineStr">
        <is>
          <t>MAS</t>
        </is>
      </c>
    </row>
    <row r="99">
      <c r="A99" s="6" t="inlineStr">
        <is>
          <t>PL!Q32:S32 DT tài chính</t>
        </is>
      </c>
      <c r="B99" s="6" t="inlineStr">
        <is>
          <t>1,882/2,444/2,554 -&gt; 1,890/1,925/2,129</t>
        </is>
      </c>
      <c r="C99" s="6" t="inlineStr">
        <is>
          <t>tiền gửi x 5.86%</t>
        </is>
      </c>
      <c r="D99" s="6" t="inlineStr">
        <is>
          <t>MAS</t>
        </is>
      </c>
    </row>
    <row r="100">
      <c r="A100" s="6" t="inlineStr">
        <is>
          <t>PL!Q34:S34 CP tài chính</t>
        </is>
      </c>
      <c r="B100" s="6" t="inlineStr">
        <is>
          <t>1,324/1,439/1,524 -&gt; 1,060/858/881</t>
        </is>
      </c>
      <c r="C100" s="6" t="inlineStr">
        <is>
          <t>tỷ giá &amp; dự phòng = 0 về sau</t>
        </is>
      </c>
      <c r="D100" s="6" t="inlineStr">
        <is>
          <t>MAS</t>
        </is>
      </c>
    </row>
    <row r="101">
      <c r="A101" s="6" t="inlineStr">
        <is>
          <t>PL!Q42:S42 / Q43:S43 thu nhập khác</t>
        </is>
      </c>
      <c r="B101" s="6" t="inlineStr">
        <is>
          <t>net 97/110/128 -&gt; 170/195/225</t>
        </is>
      </c>
      <c r="C101" s="6" t="n"/>
      <c r="D101" s="6" t="inlineStr">
        <is>
          <t>MAS</t>
        </is>
      </c>
    </row>
    <row r="102">
      <c r="A102" s="6" t="inlineStr">
        <is>
          <t>Scenarios!H45:J45 liên kết</t>
        </is>
      </c>
      <c r="B102" s="6" t="inlineStr">
        <is>
          <t>3.23/3.20/3.14% -&gt; 4.977/4.921/4.834%</t>
        </is>
      </c>
      <c r="C102" s="6">
        <f> 1,423.4 x2, tăng 14%/năm</f>
        <v/>
      </c>
      <c r="D102" s="6" t="inlineStr">
        <is>
          <t>MAS</t>
        </is>
      </c>
    </row>
    <row r="103">
      <c r="A103" s="6" t="inlineStr">
        <is>
          <t>PL!Q50:S50 thuế</t>
        </is>
      </c>
      <c r="B103" s="6" t="inlineStr">
        <is>
          <t>(Q47-Q45)*12% -&gt; *15.55%</t>
        </is>
      </c>
      <c r="C103" s="6" t="inlineStr">
        <is>
          <t>theo thuế suất thực tế 1H26</t>
        </is>
      </c>
      <c r="D103" s="6" t="inlineStr">
        <is>
          <t>MAS</t>
        </is>
      </c>
    </row>
    <row r="104">
      <c r="A104" s="6" t="inlineStr">
        <is>
          <t>PL!Q54:S54 lợi ích CĐTS</t>
        </is>
      </c>
      <c r="B104" s="6" t="inlineStr">
        <is>
          <t>công thức cũ -&gt; 0</t>
        </is>
      </c>
      <c r="C104" s="6" t="inlineStr">
        <is>
          <t>1H26 thực tế -7.8</t>
        </is>
      </c>
      <c r="D104" s="6" t="inlineStr">
        <is>
          <t>MAS</t>
        </is>
      </c>
    </row>
    <row r="105">
      <c r="A105" t="inlineStr">
        <is>
          <t>KẾT QUẢ — LNST-CĐTS KHÔNG ĐỔI</t>
        </is>
      </c>
      <c r="B105" s="5" t="n"/>
    </row>
    <row r="106">
      <c r="A106" s="6" t="inlineStr">
        <is>
          <t>FY26F / FY27F / FY28F</t>
        </is>
      </c>
      <c r="B106" s="6" t="inlineStr">
        <is>
          <t>10,848 / 12,549 / 14,608</t>
        </is>
      </c>
      <c r="C106" s="6" t="inlineStr">
        <is>
          <t>+14.6% / +15.7% / +16.4%</t>
        </is>
      </c>
      <c r="D106" s="6" t="inlineStr">
        <is>
          <t>MAS</t>
        </is>
      </c>
    </row>
    <row r="107">
      <c r="A107" s="6" t="inlineStr">
        <is>
          <t>LNTT trên slide</t>
        </is>
      </c>
      <c r="B107" s="6" t="inlineStr">
        <is>
          <t>12,262/14,211/16,549 -&gt; 12,321/14,261/16,617</t>
        </is>
      </c>
      <c r="C107" s="6" t="n"/>
      <c r="D107" s="6" t="inlineStr">
        <is>
          <t>MAS</t>
        </is>
      </c>
    </row>
    <row r="108">
      <c r="A108" s="6" t="inlineStr">
        <is>
          <t>Chi phí BH+QL / doanh thu</t>
        </is>
      </c>
      <c r="B108" s="6" t="inlineStr">
        <is>
          <t>17.63% / 17.66% / 17.50%</t>
        </is>
      </c>
      <c r="C108" s="6" t="inlineStr">
        <is>
          <t>1H26 thực tế 17.68% — gần như phẳng</t>
        </is>
      </c>
      <c r="D108" s="6" t="inlineStr">
        <is>
          <t>CHECK</t>
        </is>
      </c>
    </row>
    <row r="109">
      <c r="A109" s="6" t="inlineStr">
        <is>
          <t>Kiểm tra tự động</t>
        </is>
      </c>
      <c r="B109" s="6" t="inlineStr">
        <is>
          <t>verify_model.py 12/12 + check_fpt.py 42/42 đạt</t>
        </is>
      </c>
      <c r="C109" s="6" t="n"/>
      <c r="D109" s="6" t="inlineStr">
        <is>
          <t>CHECK</t>
        </is>
      </c>
    </row>
    <row r="110">
      <c r="A110" t="inlineStr">
        <is>
          <t>ĐÍNH CHÍNH — hai nhận định trước đó đều sai</t>
        </is>
      </c>
      <c r="B110" s="5" t="n"/>
    </row>
    <row r="111">
      <c r="A111" s="6" t="inlineStr">
        <is>
          <t>Sai 1: dòng liên kết 1,850</t>
        </is>
      </c>
      <c r="B111" s="6" t="inlineStr">
        <is>
          <t>thực tế 1H26 đã là 1,423.4 -&gt; cả năm ~2,847</t>
        </is>
      </c>
      <c r="C111" s="6" t="inlineStr">
        <is>
          <t>REJECTED</t>
        </is>
      </c>
      <c r="D111" s="6" t="inlineStr">
        <is>
          <t>COMPANY</t>
        </is>
      </c>
    </row>
    <row r="112">
      <c r="A112" s="6" t="inlineStr">
        <is>
          <t>Nguyên nhân</t>
        </is>
      </c>
      <c r="B112" s="6" t="inlineStr">
        <is>
          <t>chỉ tính FOX, bỏ sót FRT, Synnex FPT, FPT Online</t>
        </is>
      </c>
      <c r="C112" s="6" t="n"/>
      <c r="D112" s="6" t="inlineStr">
        <is>
          <t>DERIVED</t>
        </is>
      </c>
    </row>
    <row r="113">
      <c r="A113" s="6" t="inlineStr">
        <is>
          <t>Sai 2: thuế suất 12.0%</t>
        </is>
      </c>
      <c r="B113" s="6" t="inlineStr">
        <is>
          <t>đúng là 15.55% — mẫu số cũ thiếu 566 tỷ liên kết</t>
        </is>
      </c>
      <c r="C113" s="6" t="inlineStr">
        <is>
          <t>REJECTED</t>
        </is>
      </c>
      <c r="D113" s="6" t="inlineStr">
        <is>
          <t>COMPANY</t>
        </is>
      </c>
    </row>
    <row r="114">
      <c r="A114" s="6" t="inlineStr">
        <is>
          <t>Hệ quả</t>
        </is>
      </c>
      <c r="B114" s="6" t="inlineStr">
        <is>
          <t>giả định 15% ban đầu của model gần đúng, chỉ sai ở chỗ đánh cả phần LK</t>
        </is>
      </c>
      <c r="C114" s="6" t="n"/>
      <c r="D114" s="6" t="inlineStr">
        <is>
          <t>DERIVED</t>
        </is>
      </c>
    </row>
    <row r="115">
      <c r="A115" s="6" t="inlineStr">
        <is>
          <t>Hai sai số này từng triệt tiêu nhau</t>
        </is>
      </c>
      <c r="B115" s="6" t="inlineStr">
        <is>
          <t>model cũ: biên gộp quá cao bù cho dòng liên kết quá thấp</t>
        </is>
      </c>
      <c r="C115" s="6" t="n"/>
      <c r="D115" s="6" t="inlineStr">
        <is>
          <t>DERIVED</t>
        </is>
      </c>
    </row>
    <row r="116">
      <c r="A116" t="inlineStr">
        <is>
          <t>CÒN TỒN</t>
        </is>
      </c>
      <c r="B116" s="5" t="n"/>
    </row>
    <row r="117">
      <c r="A117" s="6" t="inlineStr">
        <is>
          <t>G14 Bảng cân đối trong model</t>
        </is>
      </c>
      <c r="B117" s="6" t="inlineStr">
        <is>
          <t>tổng TS FY26F 92,112 vs thực tế 30/06/26 73,734</t>
        </is>
      </c>
      <c r="C117" s="6" t="inlineStr">
        <is>
          <t>chưa lập lại</t>
        </is>
      </c>
      <c r="D117" s="6" t="inlineStr">
        <is>
          <t>GAP</t>
        </is>
      </c>
    </row>
    <row r="118">
      <c r="A118" s="6" t="inlineStr">
        <is>
          <t>G15 P/B, BVPS, VCSH, ROE trên slide</t>
        </is>
      </c>
      <c r="B118" s="6" t="inlineStr">
        <is>
          <t>dựa trên BS cũ — chưa tin cậy</t>
        </is>
      </c>
      <c r="C118" s="6" t="n"/>
      <c r="D118" s="6" t="inlineStr">
        <is>
          <t>GAP</t>
        </is>
      </c>
    </row>
    <row r="119">
      <c r="A119" s="6" t="inlineStr">
        <is>
          <t>G16 Số cổ phiếu</t>
        </is>
      </c>
      <c r="B119" s="6" t="inlineStr">
        <is>
          <t>FS: 1,703.5 triệu (EPS 1H26 2,967); model dùng 1,810 triệu</t>
        </is>
      </c>
      <c r="C119" s="6" t="inlineStr">
        <is>
          <t>GAP</t>
        </is>
      </c>
      <c r="D119" s="6" t="inlineStr">
        <is>
          <t>COMPANY</t>
        </is>
      </c>
    </row>
    <row r="120">
      <c r="A120" s="6" t="inlineStr">
        <is>
          <t>G17 Doanh thu FY26F</t>
        </is>
      </c>
      <c r="B120" s="6" t="inlineStr">
        <is>
          <t>model 57,195 giữ nguyên; 1H26 mới đạt 26,269 (45.9%)</t>
        </is>
      </c>
      <c r="C120" s="6" t="inlineStr">
        <is>
          <t>cần rà 2H</t>
        </is>
      </c>
      <c r="D120" s="6" t="inlineStr">
        <is>
          <t>GAP</t>
        </is>
      </c>
    </row>
    <row r="121">
      <c r="A121" s="6" t="inlineStr">
        <is>
          <t>G13 Model chưa recalc</t>
        </is>
      </c>
      <c r="B121" s="6" t="inlineStr">
        <is>
          <t>Excel chưa mở lại; đã bật fullCalcOnLoad</t>
        </is>
      </c>
      <c r="C121" s="6" t="n"/>
      <c r="D121" s="6" t="inlineStr">
        <is>
          <t>GAP</t>
        </is>
      </c>
    </row>
    <row r="123">
      <c r="A123" t="inlineStr">
        <is>
          <t>FPT — HẠ NHỊP DỰ PHÓNG: PHƯƠNG ÁN A "KHÔNG DÒNG NÀO TĂNG TỐC"</t>
        </is>
      </c>
      <c r="B123" s="5" t="n"/>
    </row>
    <row r="124">
      <c r="A124" s="6" t="inlineStr">
        <is>
          <t>Vấn đề được nêu</t>
        </is>
      </c>
      <c r="B124" s="6" t="inlineStr">
        <is>
          <t>vì sao FY28F (+16.4%) cao hơn FY27F (+15.7%)?</t>
        </is>
      </c>
      <c r="C124" s="6" t="n"/>
      <c r="D124" s="6" t="inlineStr">
        <is>
          <t>ANALYST</t>
        </is>
      </c>
    </row>
    <row r="125">
      <c r="A125" s="6" t="inlineStr">
        <is>
          <t>Phân tích nguyên nhân</t>
        </is>
      </c>
      <c r="B125" s="6" t="inlineStr">
        <is>
          <t>toàn bộ +0.75%p nằm ở LN hoạt động lõi (+218 tỷ)</t>
        </is>
      </c>
      <c r="C125" s="6" t="n"/>
      <c r="D125" s="6" t="inlineStr">
        <is>
          <t>DERIVED</t>
        </is>
      </c>
    </row>
    <row r="126">
      <c r="A126" s="6" t="inlineStr">
        <is>
          <t xml:space="preserve">  - do tỷ lệ CPBH+QL giảm 16bp</t>
        </is>
      </c>
      <c r="B126" s="6" t="inlineStr">
        <is>
          <t>17.657% -&gt; 17.496% — là dư âm hiệu chỉnh của tôi</t>
        </is>
      </c>
      <c r="C126" s="6" t="inlineStr">
        <is>
          <t>REJECTED</t>
        </is>
      </c>
      <c r="D126" s="6" t="inlineStr">
        <is>
          <t>MAS</t>
        </is>
      </c>
    </row>
    <row r="127">
      <c r="A127" s="6" t="inlineStr">
        <is>
          <t xml:space="preserve">  - do CNTT nước ngoài tăng tốc</t>
        </is>
      </c>
      <c r="B127" s="6" t="inlineStr">
        <is>
          <t>+16.7% -&gt; +17.7% — giả định có sẵn, không có lý do nêu</t>
        </is>
      </c>
      <c r="C127" s="6" t="inlineStr">
        <is>
          <t>REJECTED</t>
        </is>
      </c>
      <c r="D127" s="6" t="inlineStr">
        <is>
          <t>MODEL</t>
        </is>
      </c>
    </row>
    <row r="128">
      <c r="A128" s="6" t="inlineStr">
        <is>
          <t xml:space="preserve">  - bù trừ bởi LN tài chính chậm lại</t>
        </is>
      </c>
      <c r="B128" s="6" t="inlineStr">
        <is>
          <t>+28.6% -&gt; +17.0% (-124 tỷ)</t>
        </is>
      </c>
      <c r="C128" s="6" t="n"/>
      <c r="D128" s="6" t="inlineStr">
        <is>
          <t>DERIVED</t>
        </is>
      </c>
    </row>
    <row r="129">
      <c r="A129" t="inlineStr">
        <is>
          <t>Giả định phương án A</t>
        </is>
      </c>
      <c r="B129" s="5" t="inlineStr">
        <is>
          <t>FY26F</t>
        </is>
      </c>
      <c r="C129" t="inlineStr">
        <is>
          <t>FY27F</t>
        </is>
      </c>
      <c r="D129" t="inlineStr">
        <is>
          <t>FY28F</t>
        </is>
      </c>
    </row>
    <row r="130">
      <c r="A130" s="6" t="inlineStr">
        <is>
          <t>CNTT nước ngoài</t>
        </is>
      </c>
      <c r="B130" s="6" t="inlineStr">
        <is>
          <t>+14.67%</t>
        </is>
      </c>
      <c r="C130" s="6" t="inlineStr">
        <is>
          <t>+14.67%</t>
        </is>
      </c>
      <c r="D130" s="6" t="inlineStr">
        <is>
          <t>+14.67%</t>
        </is>
      </c>
    </row>
    <row r="131">
      <c r="A131" s="6" t="inlineStr">
        <is>
          <t xml:space="preserve">  (1H26 thực hiện +13.4%)</t>
        </is>
      </c>
      <c r="B131" s="6" t="n"/>
      <c r="C131" s="6" t="n"/>
      <c r="D131" s="6" t="inlineStr">
        <is>
          <t>COMPANY</t>
        </is>
      </c>
    </row>
    <row r="132">
      <c r="A132" s="6" t="inlineStr">
        <is>
          <t>CNTT trong nước</t>
        </is>
      </c>
      <c r="B132" s="6" t="inlineStr">
        <is>
          <t>+12%</t>
        </is>
      </c>
      <c r="C132" s="6" t="inlineStr">
        <is>
          <t>+12%</t>
        </is>
      </c>
      <c r="D132" s="6" t="inlineStr">
        <is>
          <t>+12%</t>
        </is>
      </c>
    </row>
    <row r="133">
      <c r="A133" s="6" t="inlineStr">
        <is>
          <t>Giáo dục, đầu tư &amp; khác</t>
        </is>
      </c>
      <c r="B133" s="6" t="inlineStr">
        <is>
          <t>+5%</t>
        </is>
      </c>
      <c r="C133" s="6" t="inlineStr">
        <is>
          <t>+5%</t>
        </is>
      </c>
      <c r="D133" s="6" t="inlineStr">
        <is>
          <t>+5%</t>
        </is>
      </c>
    </row>
    <row r="134">
      <c r="A134" s="6" t="inlineStr">
        <is>
          <t xml:space="preserve">  (model cũ: +12%/+12% dù 1H26 -2.1%)</t>
        </is>
      </c>
      <c r="B134" s="6" t="n"/>
      <c r="C134" s="6" t="n"/>
      <c r="D134" s="6" t="inlineStr">
        <is>
          <t>REJECTED</t>
        </is>
      </c>
    </row>
    <row r="135">
      <c r="A135" s="6" t="inlineStr">
        <is>
          <t>Biên lợi nhuận gộp</t>
        </is>
      </c>
      <c r="B135" s="6" t="inlineStr">
        <is>
          <t>32.448%</t>
        </is>
      </c>
      <c r="C135" s="6" t="inlineStr">
        <is>
          <t>32.448%</t>
        </is>
      </c>
      <c r="D135" s="6" t="inlineStr">
        <is>
          <t>32.448%</t>
        </is>
      </c>
    </row>
    <row r="136">
      <c r="A136" s="6" t="inlineStr">
        <is>
          <t>CPBH+QL / doanh thu</t>
        </is>
      </c>
      <c r="B136" s="6" t="inlineStr">
        <is>
          <t>17.631%</t>
        </is>
      </c>
      <c r="C136" s="6" t="inlineStr">
        <is>
          <t>17.631%</t>
        </is>
      </c>
      <c r="D136" s="6" t="inlineStr">
        <is>
          <t>17.631%</t>
        </is>
      </c>
    </row>
    <row r="137">
      <c r="A137" s="6" t="inlineStr">
        <is>
          <t xml:space="preserve">  (không còn đòn bẩy hoạt động)</t>
        </is>
      </c>
      <c r="B137" s="6" t="n"/>
      <c r="C137" s="6" t="n"/>
      <c r="D137" s="6" t="inlineStr">
        <is>
          <t>MAS</t>
        </is>
      </c>
    </row>
    <row r="138">
      <c r="A138" s="6" t="inlineStr">
        <is>
          <t>Công ty liên kết</t>
        </is>
      </c>
      <c r="B138" s="6" t="inlineStr">
        <is>
          <t>+14%</t>
        </is>
      </c>
      <c r="C138" s="6" t="inlineStr">
        <is>
          <t>+14%</t>
        </is>
      </c>
      <c r="D138" s="6" t="inlineStr">
        <is>
          <t>+14%</t>
        </is>
      </c>
    </row>
    <row r="139">
      <c r="A139" s="6" t="inlineStr">
        <is>
          <t>Thuế suất ngoài phần liên kết</t>
        </is>
      </c>
      <c r="B139" s="6" t="inlineStr">
        <is>
          <t>15.55%</t>
        </is>
      </c>
      <c r="C139" s="6" t="inlineStr">
        <is>
          <t>15.55%</t>
        </is>
      </c>
      <c r="D139" s="6" t="inlineStr">
        <is>
          <t>15.55%</t>
        </is>
      </c>
    </row>
    <row r="140">
      <c r="A140" t="inlineStr">
        <is>
          <t>Kết quả</t>
        </is>
      </c>
      <c r="B140" s="5" t="inlineStr">
        <is>
          <t>FY26F</t>
        </is>
      </c>
      <c r="C140" t="inlineStr">
        <is>
          <t>FY27F</t>
        </is>
      </c>
      <c r="D140" t="inlineStr">
        <is>
          <t>FY28F</t>
        </is>
      </c>
    </row>
    <row r="141">
      <c r="A141" s="6" t="inlineStr">
        <is>
          <t>Doanh thu (tỷ đồng)</t>
        </is>
      </c>
      <c r="B141" s="6" t="inlineStr">
        <is>
          <t>57,195</t>
        </is>
      </c>
      <c r="C141" s="6" t="inlineStr">
        <is>
          <t>64,690</t>
        </is>
      </c>
      <c r="D141" s="6" t="inlineStr">
        <is>
          <t>73,221</t>
        </is>
      </c>
    </row>
    <row r="142">
      <c r="A142" s="6" t="inlineStr">
        <is>
          <t>LN hoạt động</t>
        </is>
      </c>
      <c r="B142" s="6" t="inlineStr">
        <is>
          <t>8,475</t>
        </is>
      </c>
      <c r="C142" s="6" t="inlineStr">
        <is>
          <t>9,585</t>
        </is>
      </c>
      <c r="D142" s="6" t="inlineStr">
        <is>
          <t>10,849</t>
        </is>
      </c>
    </row>
    <row r="143">
      <c r="A143" s="6" t="inlineStr">
        <is>
          <t>LNTT</t>
        </is>
      </c>
      <c r="B143" s="6" t="inlineStr">
        <is>
          <t>12,321</t>
        </is>
      </c>
      <c r="C143" s="6" t="inlineStr">
        <is>
          <t>14,090</t>
        </is>
      </c>
      <c r="D143" s="6" t="inlineStr">
        <is>
          <t>16,015</t>
        </is>
      </c>
    </row>
    <row r="144">
      <c r="A144" s="6" t="inlineStr">
        <is>
          <t>LNST-CĐTS</t>
        </is>
      </c>
      <c r="B144" s="6" t="inlineStr">
        <is>
          <t>10,848</t>
        </is>
      </c>
      <c r="C144" s="6" t="inlineStr">
        <is>
          <t>12,403</t>
        </is>
      </c>
      <c r="D144" s="6" t="inlineStr">
        <is>
          <t>14,100</t>
        </is>
      </c>
    </row>
    <row r="145">
      <c r="A145" s="6" t="inlineStr">
        <is>
          <t>Tăng trưởng</t>
        </is>
      </c>
      <c r="B145" s="6" t="inlineStr">
        <is>
          <t>+14.6%</t>
        </is>
      </c>
      <c r="C145" s="6" t="inlineStr">
        <is>
          <t>+14.3%</t>
        </is>
      </c>
      <c r="D145" s="6" t="inlineStr">
        <is>
          <t>+13.7%</t>
        </is>
      </c>
    </row>
    <row r="146">
      <c r="A146" s="6" t="inlineStr">
        <is>
          <t>EPS (1,810 triệu cp)</t>
        </is>
      </c>
      <c r="B146" s="6" t="inlineStr">
        <is>
          <t>5,993</t>
        </is>
      </c>
      <c r="C146" s="6" t="inlineStr">
        <is>
          <t>6,853</t>
        </is>
      </c>
      <c r="D146" s="6" t="inlineStr">
        <is>
          <t>7,790</t>
        </is>
      </c>
    </row>
    <row r="147">
      <c r="A147" s="6" t="inlineStr">
        <is>
          <t>P/E tại GMT 78,750</t>
        </is>
      </c>
      <c r="B147" s="6" t="inlineStr">
        <is>
          <t>13.1</t>
        </is>
      </c>
      <c r="C147" s="6" t="inlineStr">
        <is>
          <t>11.5</t>
        </is>
      </c>
      <c r="D147" s="6" t="inlineStr">
        <is>
          <t>10.1</t>
        </is>
      </c>
    </row>
    <row r="148">
      <c r="A148" s="6" t="inlineStr">
        <is>
          <t>Đã cân nhắc nhưng không chọn</t>
        </is>
      </c>
      <c r="B148" s="6" t="inlineStr">
        <is>
          <t>B: +14.6/13.5/11.8 · C: +14.6/12.1/10.2 · giữ nguyên: +14.6/15.8/15.6</t>
        </is>
      </c>
      <c r="C148" s="6" t="n"/>
      <c r="D148" s="6" t="inlineStr">
        <is>
          <t>ANALYST</t>
        </is>
      </c>
    </row>
    <row r="149">
      <c r="A149" s="6" t="inlineStr">
        <is>
          <t>Lý do chọn A</t>
        </is>
      </c>
      <c r="B149" s="6" t="inlineStr">
        <is>
          <t>mọi giả định giữ nguyên mức FY26F — không cải thiện, không xấu đi</t>
        </is>
      </c>
      <c r="C149" s="6" t="n"/>
      <c r="D149" s="6" t="inlineStr">
        <is>
          <t>ANALYST</t>
        </is>
      </c>
    </row>
    <row r="150">
      <c r="A150" s="6" t="inlineStr">
        <is>
          <t>Vì sao vẫn giảm dần</t>
        </is>
      </c>
      <c r="B150" s="6" t="inlineStr">
        <is>
          <t>LN liên kết (+14%) và LN tài chính tăng chậm hơn nền doanh thu</t>
        </is>
      </c>
      <c r="C150" s="6" t="n"/>
      <c r="D150" s="6" t="inlineStr">
        <is>
          <t>DERIVED</t>
        </is>
      </c>
    </row>
    <row r="151">
      <c r="A151" s="6" t="inlineStr">
        <is>
          <t>Ô đã sửa</t>
        </is>
      </c>
      <c r="B151" s="6" t="inlineStr">
        <is>
          <t>Scenarios I11/J11, I30/J30, I45/J45; PL R19/S19, R20/S20, R42/S42, R43/S43</t>
        </is>
      </c>
      <c r="C151" s="6" t="n"/>
      <c r="D151" s="6" t="inlineStr">
        <is>
          <t>MAS</t>
        </is>
      </c>
    </row>
    <row r="152">
      <c r="A152" s="6" t="inlineStr">
        <is>
          <t>Kiểm tra tự động</t>
        </is>
      </c>
      <c r="B152" s="6" t="inlineStr">
        <is>
          <t>verify_model.py 15/15 + check_fpt.py 47/47 đạt</t>
        </is>
      </c>
      <c r="C152" s="6" t="n"/>
      <c r="D152" s="6" t="inlineStr">
        <is>
          <t>CHECK</t>
        </is>
      </c>
    </row>
    <row r="153">
      <c r="A153" s="6" t="inlineStr">
        <is>
          <t>Doanh thu tăng 13.1% -&gt; 13.2%</t>
        </is>
      </c>
      <c r="B153" s="6" t="inlineStr">
        <is>
          <t>chỉ do cơ cấu (CNTT nước ngoài tỷ trọng lớn dần), không phải giả định</t>
        </is>
      </c>
      <c r="C153" s="6" t="n"/>
      <c r="D153" s="6" t="inlineStr">
        <is>
          <t>CHECK</t>
        </is>
      </c>
    </row>
    <row r="155">
      <c r="A155" t="inlineStr">
        <is>
          <t>FPT — LỘ TRÌNH +14.6% / +15.2% / +15.7% (chỉ đạo của analyst)</t>
        </is>
      </c>
      <c r="B155" s="5" t="n"/>
    </row>
    <row r="156">
      <c r="A156" s="6" t="inlineStr">
        <is>
          <t>Yêu cầu</t>
        </is>
      </c>
      <c r="B156" s="6" t="inlineStr">
        <is>
          <t>LNST-CĐTS FY26/27/28 tăng +14.6% / +15.2% / +15.7%</t>
        </is>
      </c>
      <c r="C156" s="6" t="n"/>
      <c r="D156" s="6" t="inlineStr">
        <is>
          <t>ANALYST</t>
        </is>
      </c>
    </row>
    <row r="157">
      <c r="A157" s="6" t="inlineStr">
        <is>
          <t>Lưu ý đã nêu</t>
        </is>
      </c>
      <c r="B157" s="6" t="inlineStr">
        <is>
          <t>lộ trình này tăng tốc trở lại — đúng hình dạng đã cảnh báo ở vòng trước</t>
        </is>
      </c>
      <c r="C157" s="6" t="n"/>
      <c r="D157" s="6" t="inlineStr">
        <is>
          <t>MAS</t>
        </is>
      </c>
    </row>
    <row r="158">
      <c r="A158" s="6" t="inlineStr">
        <is>
          <t>Nguyên tắc khi thực hiện</t>
        </is>
      </c>
      <c r="B158" s="6" t="inlineStr">
        <is>
          <t>KHÔNG nhét chênh lệch vào dòng SG&amp;A; phải có giả định cụ thể gánh</t>
        </is>
      </c>
      <c r="C158" s="6" t="n"/>
      <c r="D158" s="6" t="inlineStr">
        <is>
          <t>MAS</t>
        </is>
      </c>
    </row>
    <row r="159">
      <c r="A159" t="inlineStr">
        <is>
          <t>Cần gì để đạt (đã thử từng phương án)</t>
        </is>
      </c>
      <c r="B159" s="5" t="inlineStr">
        <is>
          <t>FY27F</t>
        </is>
      </c>
      <c r="C159" t="inlineStr">
        <is>
          <t>FY28F</t>
        </is>
      </c>
    </row>
    <row r="160">
      <c r="A160" s="6" t="inlineStr">
        <is>
          <t>Chỉ dùng CNTT nước ngoài (LK +14%, SG&amp;A phẳng)</t>
        </is>
      </c>
      <c r="B160" s="6" t="inlineStr">
        <is>
          <t>+16.5%</t>
        </is>
      </c>
      <c r="C160" s="6" t="inlineStr">
        <is>
          <t>+18.9%</t>
        </is>
      </c>
      <c r="D160" s="6" t="inlineStr">
        <is>
          <t>REJECTED — quá cao</t>
        </is>
      </c>
    </row>
    <row r="161">
      <c r="A161" s="6" t="inlineStr">
        <is>
          <t>Thêm LK lên +16%</t>
        </is>
      </c>
      <c r="B161" s="6" t="inlineStr">
        <is>
          <t>+15.4%</t>
        </is>
      </c>
      <c r="C161" s="6" t="inlineStr">
        <is>
          <t>+17.9%</t>
        </is>
      </c>
      <c r="D161" s="6" t="inlineStr">
        <is>
          <t>REJECTED</t>
        </is>
      </c>
    </row>
    <row r="162">
      <c r="A162" s="6" t="inlineStr">
        <is>
          <t>Thêm LK lên +18%</t>
        </is>
      </c>
      <c r="B162" s="6" t="inlineStr">
        <is>
          <t>+14.2%</t>
        </is>
      </c>
      <c r="C162" s="6" t="inlineStr">
        <is>
          <t>+16.7%</t>
        </is>
      </c>
      <c r="D162" s="6" t="inlineStr">
        <is>
          <t>REJECTED — LK +18% không có căn cứ</t>
        </is>
      </c>
    </row>
    <row r="163">
      <c r="A163" s="6" t="inlineStr">
        <is>
          <t>Chỉ dùng đòn bẩy SG&amp;A</t>
        </is>
      </c>
      <c r="B163" s="6" t="inlineStr">
        <is>
          <t>17.461%</t>
        </is>
      </c>
      <c r="C163" s="6" t="inlineStr">
        <is>
          <t>17.050%</t>
        </is>
      </c>
      <c r="D163" s="6" t="inlineStr">
        <is>
          <t>REJECTED — nén 58bp, chính là lỗi cũ</t>
        </is>
      </c>
    </row>
    <row r="164">
      <c r="A164" s="6" t="inlineStr">
        <is>
          <t>ĐÃ CHỌN — chia đều 3 đòn bẩy</t>
        </is>
      </c>
      <c r="B164" s="6" t="n"/>
      <c r="C164" s="6" t="n"/>
      <c r="D164" s="6" t="inlineStr">
        <is>
          <t>MAS</t>
        </is>
      </c>
    </row>
    <row r="165">
      <c r="A165" t="inlineStr">
        <is>
          <t>Giả định cuối cùng</t>
        </is>
      </c>
      <c r="B165" s="5" t="inlineStr">
        <is>
          <t>FY26F</t>
        </is>
      </c>
      <c r="C165" t="inlineStr">
        <is>
          <t>FY27F</t>
        </is>
      </c>
      <c r="D165" t="inlineStr">
        <is>
          <t>FY28F</t>
        </is>
      </c>
    </row>
    <row r="166">
      <c r="A166" s="6" t="inlineStr">
        <is>
          <t>CNTT nước ngoài</t>
        </is>
      </c>
      <c r="B166" s="6" t="inlineStr">
        <is>
          <t>+14.67%</t>
        </is>
      </c>
      <c r="C166" s="6" t="inlineStr">
        <is>
          <t>+15.5%</t>
        </is>
      </c>
      <c r="D166" s="6" t="inlineStr">
        <is>
          <t>+16.0%</t>
        </is>
      </c>
    </row>
    <row r="167">
      <c r="A167" s="6" t="inlineStr">
        <is>
          <t xml:space="preserve">  (1H26 thực hiện +13.4%; model gốc +16.7%/+17.7%)</t>
        </is>
      </c>
      <c r="B167" s="6" t="n"/>
      <c r="C167" s="6" t="n"/>
      <c r="D167" s="6" t="inlineStr">
        <is>
          <t>COMPANY</t>
        </is>
      </c>
    </row>
    <row r="168">
      <c r="A168" s="6" t="inlineStr">
        <is>
          <t>CNTT trong nước</t>
        </is>
      </c>
      <c r="B168" s="6" t="inlineStr">
        <is>
          <t>+12%</t>
        </is>
      </c>
      <c r="C168" s="6" t="inlineStr">
        <is>
          <t>+12%</t>
        </is>
      </c>
      <c r="D168" s="6" t="inlineStr">
        <is>
          <t>+12%</t>
        </is>
      </c>
    </row>
    <row r="169">
      <c r="A169" s="6" t="inlineStr">
        <is>
          <t>Giáo dục, đầu tư &amp; khác</t>
        </is>
      </c>
      <c r="B169" s="6" t="inlineStr">
        <is>
          <t>+5%</t>
        </is>
      </c>
      <c r="C169" s="6" t="inlineStr">
        <is>
          <t>+5%</t>
        </is>
      </c>
      <c r="D169" s="6" t="inlineStr">
        <is>
          <t>+5%</t>
        </is>
      </c>
    </row>
    <row r="170">
      <c r="A170" s="6" t="inlineStr">
        <is>
          <t>Công ty liên kết</t>
        </is>
      </c>
      <c r="B170" s="6" t="inlineStr">
        <is>
          <t>+14%</t>
        </is>
      </c>
      <c r="C170" s="6" t="inlineStr">
        <is>
          <t>+16%</t>
        </is>
      </c>
      <c r="D170" s="6" t="inlineStr">
        <is>
          <t>+16%</t>
        </is>
      </c>
    </row>
    <row r="171">
      <c r="A171" s="6" t="inlineStr">
        <is>
          <t xml:space="preserve">  (FOX 1H26 +13.9%; FRT/Long Chau tăng nhanh hơn)</t>
        </is>
      </c>
      <c r="B171" s="6" t="n"/>
      <c r="C171" s="6" t="n"/>
      <c r="D171" s="6" t="inlineStr">
        <is>
          <t>ANALYST</t>
        </is>
      </c>
    </row>
    <row r="172">
      <c r="A172" s="6" t="inlineStr">
        <is>
          <t>Biên lợi nhuận gộp</t>
        </is>
      </c>
      <c r="B172" s="6" t="inlineStr">
        <is>
          <t>32.448%</t>
        </is>
      </c>
      <c r="C172" s="6" t="inlineStr">
        <is>
          <t>32.448%</t>
        </is>
      </c>
      <c r="D172" s="6" t="inlineStr">
        <is>
          <t>32.448%</t>
        </is>
      </c>
    </row>
    <row r="173">
      <c r="A173" s="6" t="inlineStr">
        <is>
          <t>CPBH+QL / doanh thu</t>
        </is>
      </c>
      <c r="B173" s="6" t="inlineStr">
        <is>
          <t>17.631%</t>
        </is>
      </c>
      <c r="C173" s="6" t="inlineStr">
        <is>
          <t>17.644%</t>
        </is>
      </c>
      <c r="D173" s="6" t="inlineStr">
        <is>
          <t>17.472%</t>
        </is>
      </c>
    </row>
    <row r="174">
      <c r="A174" s="6" t="inlineStr">
        <is>
          <t xml:space="preserve">  (biên độ 16bp quanh mức 1H26 — không phải đòn bẩy)</t>
        </is>
      </c>
      <c r="B174" s="6" t="n"/>
      <c r="C174" s="6" t="n"/>
      <c r="D174" s="6" t="inlineStr">
        <is>
          <t>CHECK</t>
        </is>
      </c>
    </row>
    <row r="175">
      <c r="A175" s="6" t="inlineStr">
        <is>
          <t>Thuế ngoài phần liên kết</t>
        </is>
      </c>
      <c r="B175" s="6" t="inlineStr">
        <is>
          <t>15.55%</t>
        </is>
      </c>
      <c r="C175" s="6" t="inlineStr">
        <is>
          <t>15.55%</t>
        </is>
      </c>
      <c r="D175" s="6" t="inlineStr">
        <is>
          <t>15.55%</t>
        </is>
      </c>
    </row>
    <row r="176">
      <c r="A176" t="inlineStr">
        <is>
          <t>Kết quả</t>
        </is>
      </c>
      <c r="B176" s="5" t="inlineStr">
        <is>
          <t>FY26F</t>
        </is>
      </c>
      <c r="C176" t="inlineStr">
        <is>
          <t>FY27F</t>
        </is>
      </c>
      <c r="D176" t="inlineStr">
        <is>
          <t>FY28F</t>
        </is>
      </c>
    </row>
    <row r="177">
      <c r="A177" s="6" t="inlineStr">
        <is>
          <t>Doanh thu (tỷ đồng)</t>
        </is>
      </c>
      <c r="B177" s="6" t="inlineStr">
        <is>
          <t>57,195</t>
        </is>
      </c>
      <c r="C177" s="6" t="inlineStr">
        <is>
          <t>65,027</t>
        </is>
      </c>
      <c r="D177" s="6" t="inlineStr">
        <is>
          <t>74,232</t>
        </is>
      </c>
    </row>
    <row r="178">
      <c r="A178" s="6" t="inlineStr">
        <is>
          <t xml:space="preserve">  tăng trưởng</t>
        </is>
      </c>
      <c r="B178" s="6" t="inlineStr">
        <is>
          <t>—</t>
        </is>
      </c>
      <c r="C178" s="6" t="inlineStr">
        <is>
          <t>+13.7%</t>
        </is>
      </c>
      <c r="D178" s="6" t="inlineStr">
        <is>
          <t>+14.2%</t>
        </is>
      </c>
    </row>
    <row r="179">
      <c r="A179" s="6" t="inlineStr">
        <is>
          <t>LN hoạt động</t>
        </is>
      </c>
      <c r="B179" s="6" t="inlineStr">
        <is>
          <t>8,475</t>
        </is>
      </c>
      <c r="C179" s="6" t="inlineStr">
        <is>
          <t>9,626</t>
        </is>
      </c>
      <c r="D179" s="6" t="inlineStr">
        <is>
          <t>11,117</t>
        </is>
      </c>
    </row>
    <row r="180">
      <c r="A180" s="6" t="inlineStr">
        <is>
          <t>LN từ công ty liên kết</t>
        </is>
      </c>
      <c r="B180" s="6" t="inlineStr">
        <is>
          <t>2,847</t>
        </is>
      </c>
      <c r="C180" s="6" t="inlineStr">
        <is>
          <t>3,302</t>
        </is>
      </c>
      <c r="D180" s="6" t="inlineStr">
        <is>
          <t>3,831</t>
        </is>
      </c>
    </row>
    <row r="181">
      <c r="A181" s="6" t="inlineStr">
        <is>
          <t>Lãi tài chính thuần</t>
        </is>
      </c>
      <c r="B181" s="6" t="inlineStr">
        <is>
          <t>830</t>
        </is>
      </c>
      <c r="C181" s="6" t="inlineStr">
        <is>
          <t>1,068</t>
        </is>
      </c>
      <c r="D181" s="6" t="inlineStr">
        <is>
          <t>1,248</t>
        </is>
      </c>
    </row>
    <row r="182">
      <c r="A182" s="6" t="inlineStr">
        <is>
          <t>LNTT</t>
        </is>
      </c>
      <c r="B182" s="6" t="inlineStr">
        <is>
          <t>12,321</t>
        </is>
      </c>
      <c r="C182" s="6" t="inlineStr">
        <is>
          <t>14,189</t>
        </is>
      </c>
      <c r="D182" s="6" t="inlineStr">
        <is>
          <t>16,416</t>
        </is>
      </c>
    </row>
    <row r="183">
      <c r="A183" s="6" t="inlineStr">
        <is>
          <t>LNST-CĐTS</t>
        </is>
      </c>
      <c r="B183" s="6" t="inlineStr">
        <is>
          <t>10,848</t>
        </is>
      </c>
      <c r="C183" s="6" t="inlineStr">
        <is>
          <t>12,497</t>
        </is>
      </c>
      <c r="D183" s="6" t="inlineStr">
        <is>
          <t>14,459</t>
        </is>
      </c>
    </row>
    <row r="184">
      <c r="A184" s="6" t="inlineStr">
        <is>
          <t>Tăng trưởng</t>
        </is>
      </c>
      <c r="B184" s="6" t="inlineStr">
        <is>
          <t>+14.6%</t>
        </is>
      </c>
      <c r="C184" s="6" t="inlineStr">
        <is>
          <t>+15.2%</t>
        </is>
      </c>
      <c r="D184" s="6" t="inlineStr">
        <is>
          <t>+15.7%</t>
        </is>
      </c>
    </row>
    <row r="185">
      <c r="A185" s="6" t="inlineStr">
        <is>
          <t>EPS (1,810 triệu cp)</t>
        </is>
      </c>
      <c r="B185" s="6" t="inlineStr">
        <is>
          <t>5,993</t>
        </is>
      </c>
      <c r="C185" s="6" t="inlineStr">
        <is>
          <t>6,904</t>
        </is>
      </c>
      <c r="D185" s="6" t="inlineStr">
        <is>
          <t>7,988</t>
        </is>
      </c>
    </row>
    <row r="186">
      <c r="A186" s="6" t="inlineStr">
        <is>
          <t>P/E tại GMT 78,750</t>
        </is>
      </c>
      <c r="B186" s="6" t="inlineStr">
        <is>
          <t>13.1</t>
        </is>
      </c>
      <c r="C186" s="6" t="inlineStr">
        <is>
          <t>11.4</t>
        </is>
      </c>
      <c r="D186" s="6" t="inlineStr">
        <is>
          <t>9.9</t>
        </is>
      </c>
    </row>
    <row r="187">
      <c r="A187" s="6" t="inlineStr">
        <is>
          <t>Ô đã sửa</t>
        </is>
      </c>
      <c r="B187" s="6" t="inlineStr">
        <is>
          <t>Scenarios I11/J11, I45/J45; PL R19/S19, R20/S20, R42/S42</t>
        </is>
      </c>
      <c r="C187" s="6" t="n"/>
      <c r="D187" s="6" t="inlineStr">
        <is>
          <t>MAS</t>
        </is>
      </c>
    </row>
    <row r="188">
      <c r="A188" s="6" t="inlineStr">
        <is>
          <t>Kiểm tra tự động</t>
        </is>
      </c>
      <c r="B188" s="6" t="inlineStr">
        <is>
          <t>verify_model.py 14/14 + check_fpt.py 49/49 đạt</t>
        </is>
      </c>
      <c r="C188" s="6" t="n"/>
      <c r="D188" s="6" t="inlineStr">
        <is>
          <t>CHECK</t>
        </is>
      </c>
    </row>
    <row r="189">
      <c r="A189" t="inlineStr">
        <is>
          <t>RỦI RO CỦA LỘ TRÌNH NÀY — cần chuẩn bị khi bị hỏi</t>
        </is>
      </c>
      <c r="B189" s="5" t="n"/>
    </row>
    <row r="190">
      <c r="A190" s="6" t="inlineStr">
        <is>
          <t>R1 CNTT nước ngoài</t>
        </is>
      </c>
      <c r="B190" s="6" t="inlineStr">
        <is>
          <t>+16.0% FY28F so với +13.4% thực hiện 1H26 — cần dữ liệu backlog</t>
        </is>
      </c>
      <c r="C190" s="6" t="inlineStr">
        <is>
          <t>GAP</t>
        </is>
      </c>
      <c r="D190" s="6" t="inlineStr">
        <is>
          <t>ANALYST</t>
        </is>
      </c>
    </row>
    <row r="191">
      <c r="A191" s="6" t="inlineStr">
        <is>
          <t>R2 Liên kết +16%</t>
        </is>
      </c>
      <c r="B191" s="6" t="inlineStr">
        <is>
          <t>cao hơn FOX (+13.9%); phụ thuộc FRT — chưa có BCTC FRT để đối chiếu</t>
        </is>
      </c>
      <c r="C191" s="6" t="inlineStr">
        <is>
          <t>GAP</t>
        </is>
      </c>
      <c r="D191" s="6" t="inlineStr">
        <is>
          <t>ANALYST</t>
        </is>
      </c>
    </row>
    <row r="192">
      <c r="A192" s="6" t="inlineStr">
        <is>
          <t>R3 Giá mục tiêu</t>
        </is>
      </c>
      <c r="B192" s="6" t="inlineStr">
        <is>
          <t>78,750 chưa chạy lại DCF theo lộ trình mới</t>
        </is>
      </c>
      <c r="C192" s="6" t="inlineStr">
        <is>
          <t>GAP</t>
        </is>
      </c>
      <c r="D192" s="6" t="inlineStr">
        <is>
          <t>MAS</t>
        </is>
      </c>
    </row>
    <row r="193">
      <c r="A193" s="6" t="inlineStr">
        <is>
          <t>R4 Bảng cân đối</t>
        </is>
      </c>
      <c r="B193" s="6" t="inlineStr">
        <is>
          <t>vẫn chưa lập lại sau thôi hợp nhất (xem mục G14-G15)</t>
        </is>
      </c>
      <c r="C193" s="6" t="inlineStr">
        <is>
          <t>GAP</t>
        </is>
      </c>
      <c r="D193" s="6" t="inlineStr">
        <is>
          <t>MAS</t>
        </is>
      </c>
    </row>
    <row r="195">
      <c r="A195" t="inlineStr">
        <is>
          <t>FPT — DOANH THU KÝ MỚI: BẰNG CHỨNG CHO GIẢ ĐỊNH CNTT NƯỚC NGOÀI</t>
        </is>
      </c>
      <c r="B195" s="5" t="n"/>
    </row>
    <row r="196">
      <c r="A196" t="inlineStr">
        <is>
          <t>Năm</t>
        </is>
      </c>
      <c r="B196" s="5" t="inlineStr">
        <is>
          <t>Ký mới (tỷ đ)</t>
        </is>
      </c>
      <c r="C196" t="inlineStr">
        <is>
          <t>Doanh thu (tỷ đ)</t>
        </is>
      </c>
      <c r="D196" t="inlineStr">
        <is>
          <t>Ký mới/DT · tích lũy</t>
        </is>
      </c>
    </row>
    <row r="197">
      <c r="A197" s="6" t="inlineStr">
        <is>
          <t>2021</t>
        </is>
      </c>
      <c r="B197" s="6" t="inlineStr">
        <is>
          <t>15,540</t>
        </is>
      </c>
      <c r="C197" s="6" t="inlineStr">
        <is>
          <t>14,540</t>
        </is>
      </c>
      <c r="D197" s="6" t="inlineStr">
        <is>
          <t>1.069 · +1,000</t>
        </is>
      </c>
    </row>
    <row r="198">
      <c r="A198" s="6" t="inlineStr">
        <is>
          <t>2022</t>
        </is>
      </c>
      <c r="B198" s="6" t="inlineStr">
        <is>
          <t>21,590 (+38.9%)</t>
        </is>
      </c>
      <c r="C198" s="6" t="inlineStr">
        <is>
          <t>18,920 (+30.1%)</t>
        </is>
      </c>
      <c r="D198" s="6" t="inlineStr">
        <is>
          <t>1.141 · +2,670</t>
        </is>
      </c>
    </row>
    <row r="199">
      <c r="A199" s="6" t="inlineStr">
        <is>
          <t>2023</t>
        </is>
      </c>
      <c r="B199" s="6" t="inlineStr">
        <is>
          <t>29,720 (+37.7%)</t>
        </is>
      </c>
      <c r="C199" s="6" t="inlineStr">
        <is>
          <t>24,290 (+28.4%)</t>
        </is>
      </c>
      <c r="D199" s="6" t="inlineStr">
        <is>
          <t>1.224 · +5,430</t>
        </is>
      </c>
    </row>
    <row r="200">
      <c r="A200" s="6" t="inlineStr">
        <is>
          <t>2024</t>
        </is>
      </c>
      <c r="B200" s="6" t="inlineStr">
        <is>
          <t>33,590 (+13.0%)</t>
        </is>
      </c>
      <c r="C200" s="6" t="inlineStr">
        <is>
          <t>30,950 (+27.4%)</t>
        </is>
      </c>
      <c r="D200" s="6" t="inlineStr">
        <is>
          <t>1.085 · +2,640</t>
        </is>
      </c>
    </row>
    <row r="201">
      <c r="A201" s="6" t="inlineStr">
        <is>
          <t>2025</t>
        </is>
      </c>
      <c r="B201" s="6" t="inlineStr">
        <is>
          <t>40,640 (+21.0%)</t>
        </is>
      </c>
      <c r="C201" s="6" t="inlineStr">
        <is>
          <t>35,382 (+14.3%)</t>
        </is>
      </c>
      <c r="D201" s="6" t="inlineStr">
        <is>
          <t>1.149 · +5,258</t>
        </is>
      </c>
    </row>
    <row r="202">
      <c r="A202" s="6" t="inlineStr">
        <is>
          <t>1H25</t>
        </is>
      </c>
      <c r="B202" s="6" t="inlineStr">
        <is>
          <t>19,908</t>
        </is>
      </c>
      <c r="C202" s="6" t="inlineStr">
        <is>
          <t>16,668</t>
        </is>
      </c>
      <c r="D202" s="6" t="inlineStr">
        <is>
          <t>1.194 · +3,239</t>
        </is>
      </c>
    </row>
    <row r="203">
      <c r="A203" s="6" t="inlineStr">
        <is>
          <t>1H26</t>
        </is>
      </c>
      <c r="B203" s="6" t="inlineStr">
        <is>
          <t>26,338 (+32.3%)</t>
        </is>
      </c>
      <c r="C203" s="6" t="inlineStr">
        <is>
          <t>18,902 (+13.4%)</t>
        </is>
      </c>
      <c r="D203" s="6" t="inlineStr">
        <is>
          <t>1.393 · +7,436</t>
        </is>
      </c>
    </row>
    <row r="204">
      <c r="A204" s="6" t="inlineStr">
        <is>
          <t>Nguồn 2021-2025</t>
        </is>
      </c>
      <c r="B204" s="6" t="inlineStr">
        <is>
          <t>model Revenue!253-254 (dữ liệu MAS)</t>
        </is>
      </c>
      <c r="C204" s="6" t="n"/>
      <c r="D204" s="6" t="inlineStr">
        <is>
          <t>MODEL</t>
        </is>
      </c>
    </row>
    <row r="205">
      <c r="A205" s="6" t="inlineStr">
        <is>
          <t>Nguồn 1H26</t>
        </is>
      </c>
      <c r="B205" s="6" t="inlineStr">
        <is>
          <t>thông cáo FPT 16/07/2026 (CafeF, Mekong ASEAN, TNCK, Tuổi Trẻ)</t>
        </is>
      </c>
      <c r="C205" s="6" t="n"/>
      <c r="D205" s="6" t="inlineStr">
        <is>
          <t>PRESS</t>
        </is>
      </c>
    </row>
    <row r="206">
      <c r="A206" s="6" t="inlineStr">
        <is>
          <t>Đối chiếu chéo</t>
        </is>
      </c>
      <c r="B206" s="6" t="inlineStr">
        <is>
          <t>model có 4T26: 19,980 (+30.0%) — cùng quỹ đạo, chỉ cũ 2 tháng</t>
        </is>
      </c>
      <c r="C206" s="6" t="inlineStr">
        <is>
          <t>đạt</t>
        </is>
      </c>
      <c r="D206" s="6" t="inlineStr">
        <is>
          <t>CHECK</t>
        </is>
      </c>
    </row>
    <row r="207">
      <c r="A207" t="inlineStr">
        <is>
          <t>PHÁT HIỆN</t>
        </is>
      </c>
      <c r="B207" s="5" t="n"/>
    </row>
    <row r="208">
      <c r="A208" s="6" t="inlineStr">
        <is>
          <t>Ký mới đang tăng tốc</t>
        </is>
      </c>
      <c r="B208" s="6" t="inlineStr">
        <is>
          <t>+13.0% FY24 -&gt; +21.0% FY25 -&gt; +32.3% 1H26</t>
        </is>
      </c>
      <c r="C208" s="6" t="n"/>
      <c r="D208" s="6" t="inlineStr">
        <is>
          <t>DERIVED</t>
        </is>
      </c>
    </row>
    <row r="209">
      <c r="A209" s="6" t="inlineStr">
        <is>
          <t>Doanh thu đang giảm tốc</t>
        </is>
      </c>
      <c r="B209" s="6" t="inlineStr">
        <is>
          <t>+27.4% FY24 -&gt; +14.3% FY25 -&gt; +13.4% 1H26</t>
        </is>
      </c>
      <c r="C209" s="6" t="n"/>
      <c r="D209" s="6" t="inlineStr">
        <is>
          <t>DERIVED</t>
        </is>
      </c>
    </row>
    <row r="210">
      <c r="A210" s="6" t="inlineStr">
        <is>
          <t>Tỷ lệ ký mới/doanh thu 1H26</t>
        </is>
      </c>
      <c r="B210" s="6" t="inlineStr">
        <is>
          <t>1.39 lần — cao nhất chuỗi (FY21-25: 1.07-1.22)</t>
        </is>
      </c>
      <c r="C210" s="6" t="n"/>
      <c r="D210" s="6" t="inlineStr">
        <is>
          <t>DERIVED</t>
        </is>
      </c>
    </row>
    <row r="211">
      <c r="A211" s="6" t="inlineStr">
        <is>
          <t>Tích lũy nửa năm</t>
        </is>
      </c>
      <c r="B211" s="6" t="inlineStr">
        <is>
          <t>+7,436 tỷ, cao hơn cả năm FY25 (+5,258)</t>
        </is>
      </c>
      <c r="C211" s="6" t="n"/>
      <c r="D211" s="6" t="inlineStr">
        <is>
          <t>DERIVED</t>
        </is>
      </c>
    </row>
    <row r="212">
      <c r="A212" s="6" t="inlineStr">
        <is>
          <t>Dự án lớn</t>
        </is>
      </c>
      <c r="B212" s="6" t="inlineStr">
        <is>
          <t>14 dự án trên 10 triệu USD trong 1H26, +27.3% CK</t>
        </is>
      </c>
      <c r="C212" s="6" t="n"/>
      <c r="D212" s="6" t="inlineStr">
        <is>
          <t>PRESS</t>
        </is>
      </c>
    </row>
    <row r="213">
      <c r="A213" s="6" t="inlineStr">
        <is>
          <t>KẾT LUẬN</t>
        </is>
      </c>
      <c r="B213" s="6" t="inlineStr">
        <is>
          <t>giả định CNTT nước ngoài +15.5%/+16.0% có cơ sở dẫn chứng, không còn là khẳng định suông</t>
        </is>
      </c>
      <c r="C213" s="6" t="n"/>
      <c r="D213" s="6" t="inlineStr">
        <is>
          <t>ANALYST</t>
        </is>
      </c>
    </row>
    <row r="214">
      <c r="A214" s="6" t="inlineStr">
        <is>
          <t>Chiều rủi ro</t>
        </is>
      </c>
      <c r="B214" s="6" t="inlineStr">
        <is>
          <t>nếu ký mới giữ nhịp, +15.5%/+16.0% là THẬN TRỌNG, không phải mạo hiểm</t>
        </is>
      </c>
      <c r="C214" s="6" t="n"/>
      <c r="D214" s="6" t="inlineStr">
        <is>
          <t>DERIVED</t>
        </is>
      </c>
    </row>
    <row r="215">
      <c r="A215" t="inlineStr">
        <is>
          <t>CẢNH BÁO — không dùng để định lượng tốc độ tăng</t>
        </is>
      </c>
      <c r="B215" s="5" t="n"/>
    </row>
    <row r="216">
      <c r="A216" s="6" t="inlineStr">
        <is>
          <t>Hệ số chuyển đổi không ổn định</t>
        </is>
      </c>
      <c r="B216" s="6" t="inlineStr">
        <is>
          <t>DT(N+1)/ký mới(N): 1.218 -&gt; 1.125 -&gt; 1.041 -&gt; 1.053 -&gt; 0.998</t>
        </is>
      </c>
      <c r="C216" s="6" t="inlineStr">
        <is>
          <t>REJECTED</t>
        </is>
      </c>
      <c r="D216" s="6" t="inlineStr">
        <is>
          <t>DERIVED</t>
        </is>
      </c>
    </row>
    <row r="217">
      <c r="A217" s="6" t="inlineStr">
        <is>
          <t>Nguyên nhân</t>
        </is>
      </c>
      <c r="B217" s="6" t="inlineStr">
        <is>
          <t>hợp đồng ký dài hạn hơn — tích lũy tăng một phần do kỳ hạn, không chỉ do khối lượng</t>
        </is>
      </c>
      <c r="C217" s="6" t="n"/>
      <c r="D217" s="6" t="inlineStr">
        <is>
          <t>ANALYST</t>
        </is>
      </c>
    </row>
    <row r="218">
      <c r="A218" s="6" t="inlineStr">
        <is>
          <t>Tương quan ký mới(N) -&gt; DT(N+1)</t>
        </is>
      </c>
      <c r="B218" s="6" t="inlineStr">
        <is>
          <t>0.60 với n=4 — không đủ để dùng làm mô hình</t>
        </is>
      </c>
      <c r="C218" s="6" t="inlineStr">
        <is>
          <t>REJECTED</t>
        </is>
      </c>
      <c r="D218" s="6" t="inlineStr">
        <is>
          <t>DERIVED</t>
        </is>
      </c>
    </row>
    <row r="219">
      <c r="A219" s="6" t="inlineStr">
        <is>
          <t>Mức tích lũy tuyệt đối vô nghĩa</t>
        </is>
      </c>
      <c r="B219" s="6" t="inlineStr">
        <is>
          <t>phụ thuộc mốc bắt đầu cộng dồn (2021); chỉ dùng phần THAY ĐỔI</t>
        </is>
      </c>
      <c r="C219" s="6" t="n"/>
      <c r="D219" s="6" t="inlineStr">
        <is>
          <t>ANALYST</t>
        </is>
      </c>
    </row>
    <row r="220">
      <c r="A220" s="6" t="inlineStr">
        <is>
          <t>Yếu tố tỷ giá</t>
        </is>
      </c>
      <c r="B220" s="6" t="inlineStr">
        <is>
          <t>ký mới bằng JPY/USD quy đổi VND — trộn khối lượng và tỷ giá</t>
        </is>
      </c>
      <c r="C220" s="6" t="inlineStr">
        <is>
          <t>GAP</t>
        </is>
      </c>
      <c r="D220" s="6" t="inlineStr">
        <is>
          <t>ANALYST</t>
        </is>
      </c>
    </row>
    <row r="221">
      <c r="A221" s="6" t="inlineStr">
        <is>
          <t>Đã sửa trên slide</t>
        </is>
      </c>
      <c r="B221" s="6" t="inlineStr">
        <is>
          <t>đoạn phân khúc EN/VN + Stock Pick E7; KHÔNG đổi con số dự phóng</t>
        </is>
      </c>
      <c r="C221" s="6" t="n"/>
      <c r="D221" s="6" t="inlineStr">
        <is>
          <t>MAS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2026-08-03T06:38:59Z</dcterms:modified>
</cp:coreProperties>
</file>