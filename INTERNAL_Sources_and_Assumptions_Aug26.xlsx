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s &amp; Assumptions" sheetId="1" state="visible" r:id="rId1"/>
    <sheet xmlns:r="http://schemas.openxmlformats.org/officeDocument/2006/relationships" name="VPB HotStoc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C00000"/>
      <sz val="11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pivotButton="0" quotePrefix="0" xfId="0"/>
    <xf numFmtId="0" fontId="4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3" borderId="0" pivotButton="0" quotePrefix="0" xfId="0"/>
    <xf numFmtId="0" fontId="4" fillId="3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8" customWidth="1" min="4" max="4"/>
    <col width="15" customWidth="1" min="5" max="5"/>
    <col width="52" customWidth="1" min="6" max="6"/>
    <col width="64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for the Aug-26 Stock Pick file (VRE, FPT). Keep this file internal; the client-facing workbook carries no provenance tab.</t>
        </is>
      </c>
    </row>
    <row r="3" ht="30" customHeight="1">
      <c r="A3" s="2" t="inlineStr">
        <is>
          <t>RULE: no figure enters a client-facing cell without a source tag below. MODEL = a cell in our own model · COMPANY = disclosure/plan/AGM · PRESS = media (outlet + date) · MAS = our estimate, which must show its build · UNVERIFIED = single unconfirmed source (red). Conflicts are listed, not silently resolved.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 ht="18" customHeight="1">
      <c r="A6" s="4" t="inlineStr"/>
      <c r="B6" s="5" t="inlineStr">
        <is>
          <t>VRE — FY25 REPORTED</t>
        </is>
      </c>
      <c r="C6" s="4" t="inlineStr"/>
      <c r="D6" s="4" t="inlineStr"/>
      <c r="E6" s="4" t="inlineStr"/>
      <c r="F6" s="4" t="inlineStr"/>
      <c r="G6" s="4" t="inlineStr"/>
    </row>
    <row r="7" ht="32" customHeight="1">
      <c r="A7" s="6" t="inlineStr">
        <is>
          <t>1</t>
        </is>
      </c>
      <c r="B7" s="6" t="inlineStr">
        <is>
          <t>Net revenue FY25</t>
        </is>
      </c>
      <c r="C7" s="6" t="inlineStr">
        <is>
          <t>8,712</t>
        </is>
      </c>
      <c r="D7" s="6" t="inlineStr">
        <is>
          <t>VNDbn</t>
        </is>
      </c>
      <c r="E7" s="6" t="inlineStr">
        <is>
          <t>PRESS + COMPANY</t>
        </is>
      </c>
      <c r="F7" s="7" t="inlineStr">
        <is>
          <t>FY25 results coverage; cross-checks to the FY26 plan (10,132 stated +16% YoY -&gt; implies 8,734)</t>
        </is>
      </c>
      <c r="G7" s="7" t="inlineStr">
        <is>
          <t>RECONCILED. NOT an adjusted figure — FY25 one-offs sat in financial income, below the revenue line. Model Summary!K157 shows 9,074 but that column is a 2025F forecast, not an actual.</t>
        </is>
      </c>
    </row>
    <row r="8" ht="32" customHeight="1">
      <c r="A8" s="6" t="inlineStr">
        <is>
          <t>2</t>
        </is>
      </c>
      <c r="B8" s="6" t="inlineStr">
        <is>
          <t>Leasing revenue FY25</t>
        </is>
      </c>
      <c r="C8" s="6" t="inlineStr">
        <is>
          <t>8,400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FY25 results coverage, +8.3% YoY</t>
        </is>
      </c>
      <c r="G8" s="7" t="inlineStr">
        <is>
          <t>Single source; consistent with model leasing 2025F of 8,311.</t>
        </is>
      </c>
    </row>
    <row r="9" ht="32" customHeight="1">
      <c r="A9" s="6" t="inlineStr">
        <is>
          <t>3</t>
        </is>
      </c>
      <c r="B9" s="6" t="inlineStr">
        <is>
          <t>NPAT FY25 (reported)</t>
        </is>
      </c>
      <c r="C9" s="6" t="inlineStr">
        <is>
          <t>6,446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FY25 results announcement, +57.3% YoY</t>
        </is>
      </c>
      <c r="G9" s="7" t="inlineStr">
        <is>
          <t>Confirmed by multiple outlets.</t>
        </is>
      </c>
    </row>
    <row r="10" ht="32" customHeight="1">
      <c r="A10" s="6" t="inlineStr">
        <is>
          <t>4</t>
        </is>
      </c>
      <c r="B10" s="6" t="inlineStr">
        <is>
          <t>NPAT FY25 (adjusted)</t>
        </is>
      </c>
      <c r="C10" s="6" t="inlineStr">
        <is>
          <t>4,694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Ex one-off financial income (Vincom Center Nguyen Chi Thanh stake transfer), +16.3% YoY</t>
        </is>
      </c>
      <c r="G10" s="7" t="inlineStr">
        <is>
          <t>"Adjusted" applies to PROFIT ONLY.</t>
        </is>
      </c>
    </row>
    <row r="11" ht="32" customHeight="1">
      <c r="A11" s="6" t="inlineStr">
        <is>
          <t>5</t>
        </is>
      </c>
      <c r="B11" s="6" t="inlineStr">
        <is>
          <t>NPAT FY25 (model base)</t>
        </is>
      </c>
      <c r="C11" s="6" t="inlineStr">
        <is>
          <t>6,367</t>
        </is>
      </c>
      <c r="D11" s="6" t="inlineStr">
        <is>
          <t>VNDbn</t>
        </is>
      </c>
      <c r="E11" s="6" t="inlineStr">
        <is>
          <t>MODEL</t>
        </is>
      </c>
      <c r="F11" s="7" t="inlineStr">
        <is>
          <t>VRE_1Q26_v2_linked2.xlsx Summary!K158</t>
        </is>
      </c>
      <c r="G11" s="7" t="inlineStr">
        <is>
          <t>Col-H growth denominator, for cross-ticker consistency; differs from the 6,446 reported.</t>
        </is>
      </c>
    </row>
    <row r="12" ht="18" customHeight="1">
      <c r="A12" s="4" t="inlineStr"/>
      <c r="B12" s="5" t="inlineStr">
        <is>
          <t>VRE — 1Q26 REPORTED</t>
        </is>
      </c>
      <c r="C12" s="4" t="inlineStr"/>
      <c r="D12" s="4" t="inlineStr"/>
      <c r="E12" s="4" t="inlineStr"/>
      <c r="F12" s="4" t="inlineStr"/>
      <c r="G12" s="4" t="inlineStr"/>
    </row>
    <row r="13" ht="32" customHeight="1">
      <c r="A13" s="6" t="inlineStr">
        <is>
          <t>6</t>
        </is>
      </c>
      <c r="B13" s="6" t="inlineStr">
        <is>
          <t>Net revenue 1Q26</t>
        </is>
      </c>
      <c r="C13" s="6" t="inlineStr">
        <is>
          <t>2,574</t>
        </is>
      </c>
      <c r="D13" s="6" t="inlineStr">
        <is>
          <t>VNDbn</t>
        </is>
      </c>
      <c r="E13" s="6" t="inlineStr">
        <is>
          <t>PRESS</t>
        </is>
      </c>
      <c r="F13" s="7" t="inlineStr">
        <is>
          <t>1Q26 results coverage, +20.7% YoY</t>
        </is>
      </c>
      <c r="G13" s="7" t="inlineStr">
        <is>
          <t>Reported. An earlier draft wrongly labelled this "adjusted" — no source described it that way. Corrected.</t>
        </is>
      </c>
    </row>
    <row r="14" ht="32" customHeight="1">
      <c r="A14" s="6" t="inlineStr">
        <is>
          <t>7</t>
        </is>
      </c>
      <c r="B14" s="6" t="inlineStr">
        <is>
          <t>NPAT 1Q26</t>
        </is>
      </c>
      <c r="C14" s="6" t="inlineStr">
        <is>
          <t>1,606</t>
        </is>
      </c>
      <c r="D14" s="6" t="inlineStr">
        <is>
          <t>VNDbn</t>
        </is>
      </c>
      <c r="E14" s="6" t="inlineStr">
        <is>
          <t>PRESS</t>
        </is>
      </c>
      <c r="F14" s="7" t="inlineStr">
        <is>
          <t>1Q26 results coverage, +36.4% YoY</t>
        </is>
      </c>
      <c r="G14" s="7" t="inlineStr">
        <is>
          <t>Confirmed by multiple outlets.</t>
        </is>
      </c>
    </row>
    <row r="15" ht="18" customHeight="1">
      <c r="A15" s="4" t="inlineStr"/>
      <c r="B15" s="5" t="inlineStr">
        <is>
          <t>VRE — FY26F</t>
        </is>
      </c>
      <c r="C15" s="4" t="inlineStr"/>
      <c r="D15" s="4" t="inlineStr"/>
      <c r="E15" s="4" t="inlineStr"/>
      <c r="F15" s="4" t="inlineStr"/>
      <c r="G15" s="4" t="inlineStr"/>
    </row>
    <row r="16" ht="32" customHeight="1">
      <c r="A16" s="6" t="inlineStr">
        <is>
          <t>8</t>
        </is>
      </c>
      <c r="B16" s="6" t="inlineStr">
        <is>
          <t>FY26 revenue plan</t>
        </is>
      </c>
      <c r="C16" s="6" t="inlineStr">
        <is>
          <t>10,132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2026 AGM, 23-Apr-2026</t>
        </is>
      </c>
      <c r="G16" s="7" t="inlineStr">
        <is>
          <t>Board-approved.</t>
        </is>
      </c>
    </row>
    <row r="17" ht="32" customHeight="1">
      <c r="A17" s="6" t="inlineStr">
        <is>
          <t>9</t>
        </is>
      </c>
      <c r="B17" s="6" t="inlineStr">
        <is>
          <t>FY26 NPAT plan</t>
        </is>
      </c>
      <c r="C17" s="6" t="inlineStr">
        <is>
          <t>5,375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2026 AGM, 23-Apr-2026</t>
        </is>
      </c>
      <c r="G17" s="7" t="inlineStr">
        <is>
          <t>Board-approved.</t>
        </is>
      </c>
    </row>
    <row r="18" ht="32" customHeight="1">
      <c r="A18" s="6" t="inlineStr">
        <is>
          <t>10</t>
        </is>
      </c>
      <c r="B18" s="6" t="inlineStr">
        <is>
          <t>MAS FY26F net revenue</t>
        </is>
      </c>
      <c r="C18" s="6" t="inlineStr">
        <is>
          <t>10,639</t>
        </is>
      </c>
      <c r="D18" s="6" t="inlineStr">
        <is>
          <t>VNDbn</t>
        </is>
      </c>
      <c r="E18" s="6" t="inlineStr">
        <is>
          <t>MAS</t>
        </is>
      </c>
      <c r="F18" s="7" t="inlineStr">
        <is>
          <t>plan x 1.05, per analyst instruction</t>
        </is>
      </c>
      <c r="G18" s="7" t="inlineStr">
        <is>
          <t>—</t>
        </is>
      </c>
    </row>
    <row r="19" ht="32" customHeight="1">
      <c r="A19" s="6" t="inlineStr">
        <is>
          <t>11</t>
        </is>
      </c>
      <c r="B19" s="6" t="inlineStr">
        <is>
          <t>MAS FY26F NPATMI</t>
        </is>
      </c>
      <c r="C19" s="6" t="inlineStr">
        <is>
          <t>5,483</t>
        </is>
      </c>
      <c r="D19" s="6" t="inlineStr">
        <is>
          <t>VNDbn</t>
        </is>
      </c>
      <c r="E19" s="6" t="inlineStr">
        <is>
          <t>MAS</t>
        </is>
      </c>
      <c r="F19" s="7" t="inlineStr">
        <is>
          <t>plan x 1.02, per analyst instruction</t>
        </is>
      </c>
      <c r="G19" s="7" t="inlineStr">
        <is>
          <t>Implies a 51.5% net margin vs ~53.0% in plan.</t>
        </is>
      </c>
    </row>
    <row r="20" ht="18" customHeight="1">
      <c r="A20" s="4" t="inlineStr"/>
      <c r="B20" s="5" t="inlineStr">
        <is>
          <t>VRE — FY27F BUILD (adopted)</t>
        </is>
      </c>
      <c r="C20" s="4" t="inlineStr"/>
      <c r="D20" s="4" t="inlineStr"/>
      <c r="E20" s="4" t="inlineStr"/>
      <c r="F20" s="4" t="inlineStr"/>
      <c r="G20" s="4" t="inlineStr"/>
    </row>
    <row r="21" ht="32" customHeight="1">
      <c r="A21" s="6" t="inlineStr">
        <is>
          <t>12</t>
        </is>
      </c>
      <c r="B21" s="6" t="inlineStr">
        <is>
          <t>FY26F NPATMI base</t>
        </is>
      </c>
      <c r="C21" s="6" t="inlineStr">
        <is>
          <t>5,483</t>
        </is>
      </c>
      <c r="D21" s="6" t="inlineStr">
        <is>
          <t>VNDbn</t>
        </is>
      </c>
      <c r="E21" s="6" t="inlineStr">
        <is>
          <t>MAS</t>
        </is>
      </c>
      <c r="F21" s="7" t="inlineStr">
        <is>
          <t>row 11</t>
        </is>
      </c>
      <c r="G21" s="7" t="inlineStr">
        <is>
          <t>—</t>
        </is>
      </c>
    </row>
    <row r="22" ht="32" customHeight="1">
      <c r="A22" s="6" t="inlineStr">
        <is>
          <t>13</t>
        </is>
      </c>
      <c r="B22" s="6" t="inlineStr">
        <is>
          <t>+ organic leasing growth</t>
        </is>
      </c>
      <c r="C22" s="6" t="inlineStr">
        <is>
          <t>439</t>
        </is>
      </c>
      <c r="D22" s="6" t="inlineStr">
        <is>
          <t>VNDbn</t>
        </is>
      </c>
      <c r="E22" s="6" t="inlineStr">
        <is>
          <t>MAS</t>
        </is>
      </c>
      <c r="F22" s="7" t="inlineStr">
        <is>
          <t>+8.0% on base: 2026 GFA additions annualise; occupancy 88.1% (end-2025) recovering</t>
        </is>
      </c>
      <c r="G22" s="7" t="inlineStr">
        <is>
          <t>Model GFA +5.2%; +8% profit growth assumes modest operating leverage.</t>
        </is>
      </c>
    </row>
    <row r="23" ht="32" customHeight="1">
      <c r="A23" s="8" t="inlineStr">
        <is>
          <t>14</t>
        </is>
      </c>
      <c r="B23" s="8" t="inlineStr">
        <is>
          <t>+ shophouse handover</t>
        </is>
      </c>
      <c r="C23" s="8" t="inlineStr">
        <is>
          <t>383</t>
        </is>
      </c>
      <c r="D23" s="8" t="inlineStr">
        <is>
          <t>VNDbn</t>
        </is>
      </c>
      <c r="E23" s="8" t="inlineStr">
        <is>
          <t>MAS</t>
        </is>
      </c>
      <c r="F23" s="9" t="inlineStr">
        <is>
          <t>~30% of the VND1,575bn guided first-year gross profit, taxed at 20%</t>
        </is>
      </c>
      <c r="G23" s="9" t="inlineStr">
        <is>
          <t>DELIBERATELY HAIRCUT — see conflicts below.</t>
        </is>
      </c>
    </row>
    <row r="24" ht="32" customHeight="1">
      <c r="A24" s="10" t="inlineStr">
        <is>
          <t>15</t>
        </is>
      </c>
      <c r="B24" s="10">
        <f> FY27F NPATMI</f>
        <v/>
      </c>
      <c r="C24" s="10" t="inlineStr">
        <is>
          <t>6,305</t>
        </is>
      </c>
      <c r="D24" s="10" t="inlineStr">
        <is>
          <t>VNDbn</t>
        </is>
      </c>
      <c r="E24" s="10" t="inlineStr">
        <is>
          <t>MAS</t>
        </is>
      </c>
      <c r="F24" s="11" t="inlineStr">
        <is>
          <t>rows 12+13+14</t>
        </is>
      </c>
      <c r="G24" s="11" t="inlineStr">
        <is>
          <t>+15.0% YoY.</t>
        </is>
      </c>
    </row>
    <row r="25" ht="18" customHeight="1">
      <c r="A25" s="4" t="inlineStr"/>
      <c r="B25" s="5" t="inlineStr">
        <is>
          <t>FY27F SCENARIOS</t>
        </is>
      </c>
      <c r="C25" s="4" t="inlineStr"/>
      <c r="D25" s="4" t="inlineStr"/>
      <c r="E25" s="4" t="inlineStr"/>
      <c r="F25" s="4" t="inlineStr"/>
      <c r="G25" s="4" t="inlineStr"/>
    </row>
    <row r="26" ht="32" customHeight="1">
      <c r="A26" s="6" t="inlineStr">
        <is>
          <t>16</t>
        </is>
      </c>
      <c r="B26" s="6" t="inlineStr">
        <is>
          <t>Low — leasing only</t>
        </is>
      </c>
      <c r="C26" s="6" t="inlineStr">
        <is>
          <t>5,922</t>
        </is>
      </c>
      <c r="D26" s="6" t="inlineStr">
        <is>
          <t>VNDbn</t>
        </is>
      </c>
      <c r="E26" s="6" t="inlineStr">
        <is>
          <t>MAS</t>
        </is>
      </c>
      <c r="F26" s="7" t="inlineStr">
        <is>
          <t>5,483 x 1.08</t>
        </is>
      </c>
      <c r="G26" s="7" t="inlineStr">
        <is>
          <t>+8.0%. Credits nothing to shophouses.</t>
        </is>
      </c>
    </row>
    <row r="27" ht="32" customHeight="1">
      <c r="A27" s="10" t="inlineStr">
        <is>
          <t>17</t>
        </is>
      </c>
      <c r="B27" s="10" t="inlineStr">
        <is>
          <t>Base — adopted</t>
        </is>
      </c>
      <c r="C27" s="10" t="inlineStr">
        <is>
          <t>6,305</t>
        </is>
      </c>
      <c r="D27" s="10" t="inlineStr">
        <is>
          <t>VNDbn</t>
        </is>
      </c>
      <c r="E27" s="10" t="inlineStr">
        <is>
          <t>MAS</t>
        </is>
      </c>
      <c r="F27" s="11" t="inlineStr">
        <is>
          <t>row 15</t>
        </is>
      </c>
      <c r="G27" s="11" t="inlineStr">
        <is>
          <t>+15.0%. ~30% of guided shophouse GP.</t>
        </is>
      </c>
    </row>
    <row r="28" ht="32" customHeight="1">
      <c r="A28" s="6" t="inlineStr">
        <is>
          <t>18</t>
        </is>
      </c>
      <c r="B28" s="6" t="inlineStr">
        <is>
          <t>High — full handover</t>
        </is>
      </c>
      <c r="C28" s="6" t="inlineStr">
        <is>
          <t>6,580</t>
        </is>
      </c>
      <c r="D28" s="6" t="inlineStr">
        <is>
          <t>VNDbn</t>
        </is>
      </c>
      <c r="E28" s="6" t="inlineStr">
        <is>
          <t>MAS</t>
        </is>
      </c>
      <c r="F28" s="7" t="inlineStr">
        <is>
          <t>5,483 x 1.20</t>
        </is>
      </c>
      <c r="G28" s="7" t="inlineStr">
        <is>
          <t>+20.0%. a competing broker forecasts 6,502 (+19.2%) on a similar view.</t>
        </is>
      </c>
    </row>
    <row r="29" ht="18" customHeight="1">
      <c r="A29" s="4" t="inlineStr"/>
      <c r="B29" s="5" t="inlineStr">
        <is>
          <t>SHOPHOUSE PIPELINE — underlying facts</t>
        </is>
      </c>
      <c r="C29" s="4" t="inlineStr"/>
      <c r="D29" s="4" t="inlineStr"/>
      <c r="E29" s="4" t="inlineStr"/>
      <c r="F29" s="4" t="inlineStr"/>
      <c r="G29" s="4" t="inlineStr"/>
    </row>
    <row r="30" ht="32" customHeight="1">
      <c r="A30" s="6" t="inlineStr">
        <is>
          <t>19</t>
        </is>
      </c>
      <c r="B30" s="6" t="inlineStr">
        <is>
          <t>Deposit — for LAND, not built units</t>
        </is>
      </c>
      <c r="C30" s="6" t="inlineStr">
        <is>
          <t>5,480</t>
        </is>
      </c>
      <c r="D30" s="6" t="inlineStr">
        <is>
          <t>VNDbn</t>
        </is>
      </c>
      <c r="E30" s="6" t="inlineStr">
        <is>
          <t>PRESS</t>
        </is>
      </c>
      <c r="F30" s="7" t="inlineStr">
        <is>
          <t>MarketTimes / Nguoi Quan Sat, Feb-2025: VND5,480bn deposited end-2024 with Vinhomes/Vingroup for COMMERCIAL LAND PLOTS, 109,800 sqm net floor = ~1,200 shophouses</t>
        </is>
      </c>
      <c r="G30" s="7" t="inlineStr">
        <is>
          <t>CORRECTED. A draft claimed VRE resells "finished stock" so handover follows sale within months — WRONG. The deposit bought land; VRE develops. Revenue books on handover, so a 2027 contribution requires construction complete by then, which is not evidenced. Marketing-site claims that Royal Island construction completes in 2026 are NOT an acceptable source. Leasing-only FY27F would be 5,922 (+8.0%).</t>
        </is>
      </c>
    </row>
    <row r="31" ht="32" customHeight="1">
      <c r="A31" s="6" t="inlineStr">
        <is>
          <t>20</t>
        </is>
      </c>
      <c r="B31" s="6" t="inlineStr">
        <is>
          <t>Guided gross margin</t>
        </is>
      </c>
      <c r="C31" s="6" t="inlineStr">
        <is>
          <t>45</t>
        </is>
      </c>
      <c r="D31" s="6" t="inlineStr">
        <is>
          <t>%</t>
        </is>
      </c>
      <c r="E31" s="6" t="inlineStr">
        <is>
          <t>PRESS</t>
        </is>
      </c>
      <c r="F31" s="7" t="inlineStr">
        <is>
          <t>Broker/press coverage</t>
        </is>
      </c>
      <c r="G31" s="7" t="inlineStr">
        <is>
          <t>Single-source estimate.</t>
        </is>
      </c>
    </row>
    <row r="32" ht="32" customHeight="1">
      <c r="A32" s="6" t="inlineStr">
        <is>
          <t>21</t>
        </is>
      </c>
      <c r="B32" s="6" t="inlineStr">
        <is>
          <t>Guided gross profit, 1st handover yr</t>
        </is>
      </c>
      <c r="C32" s="6" t="inlineStr">
        <is>
          <t>1,575</t>
        </is>
      </c>
      <c r="D32" s="6" t="inlineStr">
        <is>
          <t>VNDbn</t>
        </is>
      </c>
      <c r="E32" s="6" t="inlineStr">
        <is>
          <t>PRESS</t>
        </is>
      </c>
      <c r="F32" s="7" t="inlineStr">
        <is>
          <t>CafeF, 10-Oct-2025</t>
        </is>
      </c>
      <c r="G32" s="12" t="inlineStr">
        <is>
          <t>UNVERIFIED against company disclosure — indicative only. This is the number our row-14 haircut is applied to.</t>
        </is>
      </c>
    </row>
    <row r="33" ht="32" customHeight="1">
      <c r="A33" s="6" t="inlineStr">
        <is>
          <t>22</t>
        </is>
      </c>
      <c r="B33" s="6" t="inlineStr">
        <is>
          <t>Vincom Collection share of FY26 rev</t>
        </is>
      </c>
      <c r="C33" s="6" t="inlineStr">
        <is>
          <t>1.5-2</t>
        </is>
      </c>
      <c r="D33" s="6" t="inlineStr">
        <is>
          <t>%</t>
        </is>
      </c>
      <c r="E33" s="6" t="inlineStr">
        <is>
          <t>COMPANY</t>
        </is>
      </c>
      <c r="F33" s="7" t="inlineStr">
        <is>
          <t>2026 AGM, 23-Apr-2026</t>
        </is>
      </c>
      <c r="G33" s="7" t="inlineStr">
        <is>
          <t>Vincom Collection = operating/managing shophouse streets (rental and management income, contributes from 2026). This is a DIFFERENT line from shophouse unit sales, whose profit depends on handover. An earlier draft used the former as evidence for the latter.</t>
        </is>
      </c>
    </row>
    <row r="34" ht="18" customHeight="1">
      <c r="A34" s="4" t="inlineStr"/>
      <c r="B34" s="5" t="inlineStr">
        <is>
          <t>KNOWN CONFLICTS &amp; OPEN ITEMS</t>
        </is>
      </c>
      <c r="C34" s="4" t="inlineStr"/>
      <c r="D34" s="4" t="inlineStr"/>
      <c r="E34" s="4" t="inlineStr"/>
      <c r="F34" s="4" t="inlineStr"/>
      <c r="G34" s="4" t="inlineStr"/>
    </row>
    <row r="35" ht="32" customHeight="1">
      <c r="A35" s="6" t="inlineStr">
        <is>
          <t>C1</t>
        </is>
      </c>
      <c r="B35" s="6" t="inlineStr">
        <is>
          <t>Shophouse timing has slipped TWICE</t>
        </is>
      </c>
      <c r="C35" s="6" t="inlineStr"/>
      <c r="D35" s="6" t="inlineStr"/>
      <c r="E35" s="6" t="inlineStr"/>
      <c r="F35" s="7" t="inlineStr">
        <is>
          <t>Feb-2025 press: sales 2025, handover 2026. Oct-2025 press: profit step-up in FY26. Apr-2026 AGM: sales open from 2027 (Vu Yen/Royal Island, Mong Cai) and 2028 (Can Gio)</t>
        </is>
      </c>
      <c r="G35" s="12" t="inlineStr">
        <is>
          <t>CORRECTED. An earlier draft said "management expects to contribute from 2027" — that was a journalist's passive phrasing, not a management statement, and it conflated SALES LAUNCH with REVENUE RECOGNITION. Booking case is NOT established: VRE bought land and develops, so 2027 revenue depends on construction completing alongside the sales launch. Risk: sales opening late in 2027 pushes recognition to 2028.</t>
        </is>
      </c>
    </row>
    <row r="36" ht="32" customHeight="1">
      <c r="A36" s="6" t="inlineStr">
        <is>
          <t>C2</t>
        </is>
      </c>
      <c r="B36" s="6" t="inlineStr">
        <is>
          <t>Historic volatility of the property line</t>
        </is>
      </c>
      <c r="C36" s="6" t="inlineStr">
        <is>
          <t>381-3,433</t>
        </is>
      </c>
      <c r="D36" s="6" t="inlineStr">
        <is>
          <t>VNDbn</t>
        </is>
      </c>
      <c r="E36" s="6" t="inlineStr">
        <is>
          <t>MODEL</t>
        </is>
      </c>
      <c r="F36" s="7" t="inlineStr">
        <is>
          <t>VRE model IS!r78 "Sale of investment properties", FY18-FY24 range</t>
        </is>
      </c>
      <c r="G36" s="12" t="inlineStr">
        <is>
          <t>Handover timing is the largest single swing factor in FY27.</t>
        </is>
      </c>
    </row>
    <row r="37" ht="32" customHeight="1">
      <c r="A37" s="6" t="inlineStr">
        <is>
          <t>C3</t>
        </is>
      </c>
      <c r="B37" s="6" t="inlineStr">
        <is>
          <t>BVPS / P-B basis — RESTATED</t>
        </is>
      </c>
      <c r="C37" s="6" t="inlineStr">
        <is>
          <t>21,563 / 23,283</t>
        </is>
      </c>
      <c r="D37" s="6" t="inlineStr">
        <is>
          <t>VND</t>
        </is>
      </c>
      <c r="E37" s="6" t="inlineStr">
        <is>
          <t>MAS</t>
        </is>
      </c>
      <c r="F37" s="7" t="inlineStr">
        <is>
          <t>Rebuilt from FY25 BVPS 20,196 (VRE model BS!K136) + our NPATMI less the ~VND2.3tn cash dividend</t>
        </is>
      </c>
      <c r="G37" s="12" t="inlineStr">
        <is>
          <t>Model BS!L136/M136 (22,798/25,513) NOT used: it embeds FY26/27 NI of 5,913/6,170 rather than our 5,483/6,305, its equity roll-forward returns #DIV/0! in the forecast columns (Equity!L16/M16), and it assumes ZERO dividends despite the first cash payout in 7 years (~VND2.3tn, Jul-2026). Restating lifts P/B from 1.23x/1.10x to 1.30x/1.20x. FY27 assumes the dividend repeats; if not, BVPS27 = 24,270 and P/B27 = 1.15x.</t>
        </is>
      </c>
    </row>
    <row r="38" ht="32" customHeight="1">
      <c r="A38" s="6" t="inlineStr">
        <is>
          <t>C4</t>
        </is>
      </c>
      <c r="B38" s="6" t="inlineStr">
        <is>
          <t>FY28F</t>
        </is>
      </c>
      <c r="C38" s="6" t="inlineStr">
        <is>
          <t>n/a</t>
        </is>
      </c>
      <c r="D38" s="6" t="inlineStr"/>
      <c r="E38" s="6" t="inlineStr">
        <is>
          <t>—</t>
        </is>
      </c>
      <c r="F38" s="7" t="inlineStr">
        <is>
          <t>VRE model and Stock Pick tab both stop at FY27F</t>
        </is>
      </c>
      <c r="G38" s="7" t="inlineStr">
        <is>
          <t>No FY28 figure exists; none has been estimated.</t>
        </is>
      </c>
    </row>
    <row r="39" ht="32" customHeight="1">
      <c r="A39" s="6" t="inlineStr">
        <is>
          <t>C5</t>
        </is>
      </c>
      <c r="B39" s="6" t="inlineStr">
        <is>
          <t>A property-led FY27 creates a high FY28 base</t>
        </is>
      </c>
      <c r="C39" s="6" t="inlineStr"/>
      <c r="D39" s="6" t="inlineStr"/>
      <c r="E39" s="6" t="inlineStr">
        <is>
          <t>—</t>
        </is>
      </c>
      <c r="F39" s="7" t="inlineStr">
        <is>
          <t>Analytical note</t>
        </is>
      </c>
      <c r="G39" s="7" t="inlineStr">
        <is>
          <t>Same distortion the FY25 one-offs created for FY26 optics.</t>
        </is>
      </c>
    </row>
    <row r="40" ht="18" customHeight="1">
      <c r="A40" s="4" t="inlineStr"/>
      <c r="B40" s="5" t="inlineStr">
        <is>
          <t>FPT — key overrides</t>
        </is>
      </c>
      <c r="C40" s="4" t="inlineStr"/>
      <c r="D40" s="4" t="inlineStr"/>
      <c r="E40" s="4" t="inlineStr"/>
      <c r="F40" s="4" t="inlineStr"/>
      <c r="G40" s="4" t="inlineStr"/>
    </row>
    <row r="41" ht="32" customHeight="1">
      <c r="A41" s="6" t="inlineStr">
        <is>
          <t>F1</t>
        </is>
      </c>
      <c r="B41" s="6" t="inlineStr">
        <is>
          <t>FY26F/27F/28F NPATMI</t>
        </is>
      </c>
      <c r="C41" s="6" t="inlineStr">
        <is>
          <t>10,943 / 12,518 / 14,156</t>
        </is>
      </c>
      <c r="D41" s="6" t="inlineStr">
        <is>
          <t>VNDbn</t>
        </is>
      </c>
      <c r="E41" s="6" t="inlineStr">
        <is>
          <t>MAS</t>
        </is>
      </c>
      <c r="F41" s="7" t="inlineStr">
        <is>
          <t>Model recalibration; Domestic IT +14.0%, Telecom associates +15% p.a.</t>
        </is>
      </c>
      <c r="G41" s="7" t="inlineStr">
        <is>
          <t>Headcount held at 45,000 per instruction, so FY26F lands at +15.6% not +15.0%.</t>
        </is>
      </c>
    </row>
    <row r="42" ht="32" customHeight="1">
      <c r="A42" s="6" t="inlineStr">
        <is>
          <t>F2</t>
        </is>
      </c>
      <c r="B42" s="6" t="inlineStr">
        <is>
          <t>Target price</t>
        </is>
      </c>
      <c r="C42" s="6" t="inlineStr">
        <is>
          <t>78,750</t>
        </is>
      </c>
      <c r="D42" s="6" t="inlineStr">
        <is>
          <t>VND</t>
        </is>
      </c>
      <c r="E42" s="6" t="inlineStr">
        <is>
          <t>MAS</t>
        </is>
      </c>
      <c r="F42" s="7" t="inlineStr">
        <is>
          <t>Set top-down at +25% on the ~63,000 price (senior-manager instruction)</t>
        </is>
      </c>
      <c r="G42" s="12" t="inlineStr">
        <is>
          <t>Valuation sheet aligned via ERP 8.97% and terminal g 1.5% — an override, not a bottom-up DCF output.</t>
        </is>
      </c>
    </row>
    <row r="43" ht="32" customHeight="1">
      <c r="A43" s="6" t="inlineStr">
        <is>
          <t>F3</t>
        </is>
      </c>
      <c r="B43" s="6" t="inlineStr">
        <is>
          <t>1H26 actuals</t>
        </is>
      </c>
      <c r="C43" s="6" t="inlineStr">
        <is>
          <t>26,269 rev / 5,714 PBT</t>
        </is>
      </c>
      <c r="D43" s="6" t="inlineStr">
        <is>
          <t>VNDbn</t>
        </is>
      </c>
      <c r="E43" s="6" t="inlineStr">
        <is>
          <t>COMPANY</t>
        </is>
      </c>
      <c r="F43" s="7" t="inlineStr">
        <is>
          <t>FPT 1H26 release, 16-Jul-2026</t>
        </is>
      </c>
      <c r="G43" s="7" t="inlineStr">
        <is>
          <t>+12.6% / +18.1% YoY.</t>
        </is>
      </c>
    </row>
    <row r="44" ht="32" customHeight="1">
      <c r="A44" s="6" t="inlineStr">
        <is>
          <t>F4</t>
        </is>
      </c>
      <c r="B44" s="6" t="inlineStr">
        <is>
          <t>2Q26 NPATMI +14% YoY</t>
        </is>
      </c>
      <c r="C44" s="6" t="inlineStr">
        <is>
          <t>2,568</t>
        </is>
      </c>
      <c r="D44" s="6" t="inlineStr">
        <is>
          <t>VNDbn</t>
        </is>
      </c>
      <c r="E44" s="6" t="inlineStr">
        <is>
          <t>PRESS</t>
        </is>
      </c>
      <c r="F44" s="7" t="inlineStr">
        <is>
          <t>CafeF, 16-Jul-2026</t>
        </is>
      </c>
      <c r="G44" s="12" t="inlineStr">
        <is>
          <t>Note: the +14% belongs to NPATMI, NOT PBT — corrected after an earlier draft misattributed it.</t>
        </is>
      </c>
    </row>
  </sheetData>
  <mergeCells count="2">
    <mergeCell ref="A3:G3"/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0" customWidth="1" min="3" max="3"/>
    <col width="8" customWidth="1" min="4" max="4"/>
    <col width="18" customWidth="1" min="5" max="5"/>
    <col width="56" customWidth="1" min="6" max="6"/>
    <col width="68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— VPB HotStock, broadcast 31/07/2026 (Đạt Quân)</t>
        </is>
      </c>
    </row>
    <row r="3">
      <c r="A3" s="2" t="inlineStr">
        <is>
          <t>RULE: no figure enters the deck or the script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VPB — 1H26 REPORTED</t>
        </is>
      </c>
    </row>
    <row r="7">
      <c r="A7" s="6" t="n">
        <v>1</v>
      </c>
      <c r="B7" s="6" t="inlineStr">
        <is>
          <t>PBT 1H26 (consolidated)</t>
        </is>
      </c>
      <c r="C7" s="6" t="inlineStr">
        <is>
          <t>18,880</t>
        </is>
      </c>
      <c r="D7" s="6" t="inlineStr">
        <is>
          <t>VNDbn</t>
        </is>
      </c>
      <c r="E7" s="6" t="inlineStr">
        <is>
          <t>COMPANY + PRESS</t>
        </is>
      </c>
      <c r="F7" s="7" t="inlineStr">
        <is>
          <t>VPBank 1H26 release, 17/07/2026: "gần 18,900 tỷ, +68% CK, ~46% kế hoạch năm"</t>
        </is>
      </c>
      <c r="G7" s="7" t="inlineStr">
        <is>
          <t>Exact 18,880 = 1Q26 7,921 + 2Q26 10,959. The "+49%" figure seen earlier in the screen was a different scope and is dropped.</t>
        </is>
      </c>
    </row>
    <row r="8">
      <c r="A8" s="6" t="n">
        <v>2</v>
      </c>
      <c r="B8" s="6" t="inlineStr">
        <is>
          <t>PBT 2Q26</t>
        </is>
      </c>
      <c r="C8" s="6" t="inlineStr">
        <is>
          <t>10,959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Coverage of the 2Q26 consolidated FS: +76% YoY, highest in 4 years</t>
        </is>
      </c>
      <c r="G8" s="7" t="inlineStr">
        <is>
          <t>Cross-check: 18,880 − 7,921 = 10,959. Consistent.</t>
        </is>
      </c>
    </row>
    <row r="9">
      <c r="A9" s="6" t="n">
        <v>3</v>
      </c>
      <c r="B9" s="6" t="inlineStr">
        <is>
          <t>PBT 1Q26</t>
        </is>
      </c>
      <c r="C9" s="6" t="inlineStr">
        <is>
          <t>7,921</t>
        </is>
      </c>
      <c r="D9" s="6" t="inlineStr">
        <is>
          <t>VNDbn</t>
        </is>
      </c>
      <c r="E9" s="6" t="inlineStr">
        <is>
          <t>COMPANY + PRESS</t>
        </is>
      </c>
      <c r="F9" s="7" t="inlineStr">
        <is>
          <t>1Q26 release, 17/04/2026: "trên 7,900 tỷ, +58% CK"</t>
        </is>
      </c>
      <c r="G9" s="7" t="inlineStr">
        <is>
          <t>Exact value taken as 18,880 − 10,959.</t>
        </is>
      </c>
    </row>
    <row r="10">
      <c r="A10" s="6" t="n">
        <v>4</v>
      </c>
      <c r="B10" s="6" t="inlineStr">
        <is>
          <t>TOI 1H26</t>
        </is>
      </c>
      <c r="C10" s="6" t="inlineStr">
        <is>
          <t>43,400 (+35.2%)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1H26 release; parent bank contributed &gt;31,600 (+35%)</t>
        </is>
      </c>
      <c r="G10" s="7" t="inlineStr">
        <is>
          <t>Parent figure is a contribution to TOI, not a profit figure — do not restate as profit.</t>
        </is>
      </c>
    </row>
    <row r="11">
      <c r="A11" s="6" t="n">
        <v>5</v>
      </c>
      <c r="B11" s="6" t="inlineStr">
        <is>
          <t>Total assets end-Jun-26</t>
        </is>
      </c>
      <c r="C11" s="6" t="inlineStr">
        <is>
          <t>&gt;1,500,000 (+19.2% vs end-25)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1H26 release</t>
        </is>
      </c>
      <c r="G11" s="7" t="inlineStr"/>
    </row>
    <row r="12">
      <c r="A12" s="6" t="n">
        <v>6</v>
      </c>
      <c r="B12" s="6" t="inlineStr">
        <is>
          <t>Credit balance, parent bank</t>
        </is>
      </c>
      <c r="C12" s="6" t="inlineStr">
        <is>
          <t>~1,060,000 (+24.6% YTD)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1H26 release</t>
        </is>
      </c>
      <c r="G12" s="7" t="inlineStr">
        <is>
          <t>Parent-bank scope. Consolidated credit &gt;1,180,000 (+23% YTD) per the same release.</t>
        </is>
      </c>
    </row>
    <row r="13">
      <c r="A13" s="6" t="n">
        <v>7</v>
      </c>
      <c r="B13" s="6" t="inlineStr">
        <is>
          <t>NPL</t>
        </is>
      </c>
      <c r="C13" s="6" t="inlineStr">
        <is>
          <t>parent ~2% (Circular 31); consolidated &lt;3%</t>
        </is>
      </c>
      <c r="D13" s="6" t="inlineStr">
        <is>
          <t>%</t>
        </is>
      </c>
      <c r="E13" s="6" t="inlineStr">
        <is>
          <t>COMPANY</t>
        </is>
      </c>
      <c r="F13" s="7" t="inlineStr">
        <is>
          <t>1H26 release</t>
        </is>
      </c>
      <c r="G13" s="7" t="inlineStr">
        <is>
          <t>TWO DIFFERENT SCOPES. Never quote one as the other.</t>
        </is>
      </c>
    </row>
    <row r="14">
      <c r="B14" s="5" t="inlineStr">
        <is>
          <t>VPB — BASE YEAR AND PLAN</t>
        </is>
      </c>
    </row>
    <row r="15">
      <c r="A15" s="6" t="n">
        <v>8</v>
      </c>
      <c r="B15" s="6" t="inlineStr">
        <is>
          <t>FY25 PBT</t>
        </is>
      </c>
      <c r="C15" s="6" t="inlineStr">
        <is>
          <t>30,600 (+53%)</t>
        </is>
      </c>
      <c r="D15" s="6" t="inlineStr">
        <is>
          <t>VNDbn</t>
        </is>
      </c>
      <c r="E15" s="6" t="inlineStr">
        <is>
          <t>COMPANY</t>
        </is>
      </c>
      <c r="F15" s="7" t="inlineStr">
        <is>
          <t>FY25 release, 19/01/2026; 121% of plan</t>
        </is>
      </c>
      <c r="G15" s="7" t="inlineStr">
        <is>
          <t>Parent bank 26,300 (+44.4%). Subsidiaries FY25: VPBankS 4,476 (4x), OPES &gt;638, FE Credit &gt;600.</t>
        </is>
      </c>
    </row>
    <row r="16">
      <c r="A16" s="6" t="n">
        <v>9</v>
      </c>
      <c r="B16" s="6" t="inlineStr">
        <is>
          <t>9M25 PBT</t>
        </is>
      </c>
      <c r="C16" s="6" t="inlineStr">
        <is>
          <t>20,400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9M25 release</t>
        </is>
      </c>
      <c r="G16" s="7" t="inlineStr">
        <is>
          <t>Rounded in the release ("hơn 20,400").</t>
        </is>
      </c>
    </row>
    <row r="17">
      <c r="A17" s="6" t="n">
        <v>10</v>
      </c>
      <c r="B17" s="6" t="inlineStr">
        <is>
          <t>FY26 plan PBT</t>
        </is>
      </c>
      <c r="C17" s="6" t="inlineStr">
        <is>
          <t>41,323 (+35%)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AGM 22/04/2026</t>
        </is>
      </c>
      <c r="G17" s="7" t="inlineStr"/>
    </row>
    <row r="18">
      <c r="B18" s="5" t="inlineStr">
        <is>
          <t>VPB — DERIVED QUARTERLY SERIES (chart on slide 3)</t>
        </is>
      </c>
    </row>
    <row r="19">
      <c r="A19" s="6" t="n">
        <v>11</v>
      </c>
      <c r="B19" s="6" t="inlineStr">
        <is>
          <t>PBT 2Q25</t>
        </is>
      </c>
      <c r="C19" s="6" t="inlineStr">
        <is>
          <t>6,230</t>
        </is>
      </c>
      <c r="D19" s="6" t="inlineStr">
        <is>
          <t>VNDbn</t>
        </is>
      </c>
      <c r="E19" s="6" t="inlineStr">
        <is>
          <t>DERIVED</t>
        </is>
      </c>
      <c r="F19" s="7">
        <f> 10,959 / 1.76 (2Q26 +76% YoY)</f>
        <v/>
      </c>
      <c r="G19" s="7" t="inlineStr">
        <is>
          <t>Implies 1H25 = 11,240; check 18,880 / 11,240 = +68.0% — matches the reported growth.</t>
        </is>
      </c>
    </row>
    <row r="20">
      <c r="A20" s="6" t="n">
        <v>12</v>
      </c>
      <c r="B20" s="6" t="inlineStr">
        <is>
          <t>PBT 1Q25</t>
        </is>
      </c>
      <c r="C20" s="6" t="inlineStr">
        <is>
          <t>5,010</t>
        </is>
      </c>
      <c r="D20" s="6" t="inlineStr">
        <is>
          <t>VNDbn</t>
        </is>
      </c>
      <c r="E20" s="6" t="inlineStr">
        <is>
          <t>DERIVED</t>
        </is>
      </c>
      <c r="F20" s="7">
        <f> 7,921 / 1.58 (1Q26 +58% YoY)</f>
        <v/>
      </c>
      <c r="G20" s="7" t="inlineStr"/>
    </row>
    <row r="21">
      <c r="A21" s="6" t="n">
        <v>13</v>
      </c>
      <c r="B21" s="6" t="inlineStr">
        <is>
          <t>PBT 3Q25</t>
        </is>
      </c>
      <c r="C21" s="6" t="inlineStr">
        <is>
          <t>9,160</t>
        </is>
      </c>
      <c r="D21" s="6" t="inlineStr">
        <is>
          <t>VNDbn</t>
        </is>
      </c>
      <c r="E21" s="6" t="inlineStr">
        <is>
          <t>DERIVED</t>
        </is>
      </c>
      <c r="F21" s="7">
        <f> 20,400 (9M25) − 11,240 (1H25)</f>
        <v/>
      </c>
      <c r="G21" s="7" t="inlineStr">
        <is>
          <t>Cumulative sources are rounded, so this carries a few hundred bn of rounding error. Chart footnote says so.</t>
        </is>
      </c>
    </row>
    <row r="22">
      <c r="A22" s="6" t="n">
        <v>14</v>
      </c>
      <c r="B22" s="6" t="inlineStr">
        <is>
          <t>PBT 4Q25</t>
        </is>
      </c>
      <c r="C22" s="6" t="inlineStr">
        <is>
          <t>10,200</t>
        </is>
      </c>
      <c r="D22" s="6" t="inlineStr">
        <is>
          <t>VNDbn</t>
        </is>
      </c>
      <c r="E22" s="6" t="inlineStr">
        <is>
          <t>DERIVED</t>
        </is>
      </c>
      <c r="F22" s="7">
        <f> 30,600 (FY25) − 20,400 (9M25)</f>
        <v/>
      </c>
      <c r="G22" s="7" t="inlineStr">
        <is>
          <t>Same rounding caveat.</t>
        </is>
      </c>
    </row>
    <row r="23">
      <c r="A23" s="6" t="n">
        <v>15</v>
      </c>
      <c r="B23" s="6" t="inlineStr">
        <is>
          <t>PBT 2H25</t>
        </is>
      </c>
      <c r="C23" s="6" t="inlineStr">
        <is>
          <t>~19,360</t>
        </is>
      </c>
      <c r="D23" s="6" t="inlineStr">
        <is>
          <t>VNDbn</t>
        </is>
      </c>
      <c r="E23" s="6" t="inlineStr">
        <is>
          <t>DERIVED</t>
        </is>
      </c>
      <c r="F23" s="7">
        <f> 30,600 − 11,240</f>
        <v/>
      </c>
      <c r="G23" s="7" t="inlineStr">
        <is>
          <t>Base for the 2H26 slowdown point. Plotted on slide 4 alongside 1H25 = 11,240 (= 18,880 / 1.68), 1H26 = 18,880 and the 22,443 needed for plan.</t>
        </is>
      </c>
    </row>
    <row r="24">
      <c r="A24" s="6" t="n">
        <v>16</v>
      </c>
      <c r="B24" s="6" t="inlineStr">
        <is>
          <t>2H26 PBT needed to hit plan</t>
        </is>
      </c>
      <c r="C24" s="6" t="inlineStr">
        <is>
          <t>22,443 (+16% YoY)</t>
        </is>
      </c>
      <c r="D24" s="6" t="inlineStr">
        <is>
          <t>VNDbn</t>
        </is>
      </c>
      <c r="E24" s="6" t="inlineStr">
        <is>
          <t>DERIVED</t>
        </is>
      </c>
      <c r="F24" s="7">
        <f> 41,323 − 18,880</f>
        <v/>
      </c>
      <c r="G24" s="7" t="inlineStr">
        <is>
          <t>Plotted as the 4th column of the slide-4 chart in a lighter colour and labelled "2H26 cần để đạt KH". IT IS NOT A MAS FORECAST — slide footnote says so explicitly.</t>
        </is>
      </c>
    </row>
    <row r="25">
      <c r="B25" s="5" t="inlineStr">
        <is>
          <t>VPB — CAPITAL INCREASE AND FOREIGN ROOM</t>
        </is>
      </c>
    </row>
    <row r="26">
      <c r="A26" s="6" t="n">
        <v>17</v>
      </c>
      <c r="B26" s="6" t="inlineStr">
        <is>
          <t>Charter capital</t>
        </is>
      </c>
      <c r="C26" s="6" t="inlineStr">
        <is>
          <t>79,339 → 106,243</t>
        </is>
      </c>
      <c r="D26" s="6" t="inlineStr">
        <is>
          <t>VNDbn</t>
        </is>
      </c>
      <c r="E26" s="6" t="inlineStr">
        <is>
          <t>COMPANY</t>
        </is>
      </c>
      <c r="F26" s="7" t="inlineStr">
        <is>
          <t>AGM 22/04/2026</t>
        </is>
      </c>
      <c r="G26" s="7" t="inlineStr">
        <is>
          <t>Would be the largest in the system.</t>
        </is>
      </c>
    </row>
    <row r="27">
      <c r="A27" s="6" t="n">
        <v>18</v>
      </c>
      <c r="B27" s="6" t="inlineStr">
        <is>
          <t>Step 1 — stock dividend</t>
        </is>
      </c>
      <c r="C27" s="6" t="inlineStr">
        <is>
          <t>26.04% (~2.06bn shares)</t>
        </is>
      </c>
      <c r="D27" s="6" t="inlineStr">
        <is>
          <t>ratio</t>
        </is>
      </c>
      <c r="E27" s="6" t="inlineStr">
        <is>
          <t>COMPANY</t>
        </is>
      </c>
      <c r="F27" s="7" t="inlineStr">
        <is>
          <t>Written consent: record date 30/06/2026, deadline 16/07/2026; execution expected 3Q–4Q26</t>
        </is>
      </c>
      <c r="G27" s="7" t="inlineStr">
        <is>
          <t>Source switched from capital surplus + reserve funds to &gt;20,660bn of retained earnings. NOT YET EXECUTED as at 30/07/2026 — the price and TP are both pre-dilution.</t>
        </is>
      </c>
    </row>
    <row r="28">
      <c r="A28" s="6" t="n">
        <v>19</v>
      </c>
      <c r="B28" s="6" t="inlineStr">
        <is>
          <t>Step 2 — private placement</t>
        </is>
      </c>
      <c r="C28" s="6" t="inlineStr">
        <is>
          <t>624mn shares (~6,243bn)</t>
        </is>
      </c>
      <c r="D28" s="6" t="inlineStr">
        <is>
          <t>shares</t>
        </is>
      </c>
      <c r="E28" s="6" t="inlineStr">
        <is>
          <t>COMPANY + PRESS</t>
        </is>
      </c>
      <c r="F28" s="7" t="inlineStr">
        <is>
          <t>AGM 22/04/2026; expected 3Q–4Q26; foreign ownership could reach ~34%</t>
        </is>
      </c>
      <c r="G28" s="7" t="inlineStr">
        <is>
          <t>Buyer described as an existing strategic shareholder or a qualifying foreign institution — NOT NAMED. Do not name one.</t>
        </is>
      </c>
    </row>
    <row r="29">
      <c r="A29" s="6" t="n">
        <v>20</v>
      </c>
      <c r="B29" s="6" t="inlineStr">
        <is>
          <t>Decree 69/2025/NĐ-CP</t>
        </is>
      </c>
      <c r="C29" s="6" t="inlineStr">
        <is>
          <t>foreign cap up to 49%</t>
        </is>
      </c>
      <c r="D29" s="6" t="inlineStr">
        <is>
          <t>%</t>
        </is>
      </c>
      <c r="E29" s="6" t="inlineStr">
        <is>
          <t>REGULATION</t>
        </is>
      </c>
      <c r="F29" s="7" t="inlineStr">
        <is>
          <t>Effective 19/05/2025; applies to banks receiving mandatory transfers of weak banks — VPB (GPBank), MBB (MBV), HDB (Vikki)</t>
        </is>
      </c>
      <c r="G29" s="7" t="inlineStr">
        <is>
          <t>Not automatic: needs a specific approval. Current foreign ownership: VPB 24.3%, MBB 22.3%, HDB 16.9%. Excludes banks &gt;50% state-owned.</t>
        </is>
      </c>
    </row>
    <row r="30">
      <c r="A30" s="6" t="n">
        <v>21</v>
      </c>
      <c r="B30" s="6" t="inlineStr">
        <is>
          <t>Cash dividend</t>
        </is>
      </c>
      <c r="C30" s="6" t="inlineStr">
        <is>
          <t>5% of par (&gt;3,900bn)</t>
        </is>
      </c>
      <c r="D30" s="6" t="inlineStr">
        <is>
          <t>VNDbn</t>
        </is>
      </c>
      <c r="E30" s="6" t="inlineStr">
        <is>
          <t>COMPANY</t>
        </is>
      </c>
      <c r="F30" s="7" t="inlineStr">
        <is>
          <t>FY25 dividend announcement</t>
        </is>
      </c>
      <c r="G30" s="7" t="inlineStr"/>
    </row>
    <row r="31">
      <c r="B31" s="5" t="inlineStr">
        <is>
          <t>VPB — PRICE, TP, FORECAST</t>
        </is>
      </c>
    </row>
    <row r="32">
      <c r="A32" s="6" t="n">
        <v>22</v>
      </c>
      <c r="B32" s="6" t="inlineStr">
        <is>
          <t>Share price</t>
        </is>
      </c>
      <c r="C32" s="6" t="inlineStr">
        <is>
          <t>24,600</t>
        </is>
      </c>
      <c r="D32" s="6" t="inlineStr">
        <is>
          <t>VND/share</t>
        </is>
      </c>
      <c r="E32" s="6" t="inlineStr">
        <is>
          <t>PRESS</t>
        </is>
      </c>
      <c r="F32" s="7" t="inlineStr">
        <is>
          <t>Quoted for 28/07/2026; 24,950 on 24/07/2026</t>
        </is>
      </c>
      <c r="G32" s="7" t="inlineStr">
        <is>
          <t>FROM A SEARCH SNIPPET, NOT A MARKET FEED (FiinQuant connector not authorised). Refresh before recording.</t>
        </is>
      </c>
    </row>
    <row r="33">
      <c r="A33" s="6" t="n">
        <v>23</v>
      </c>
      <c r="B33" s="6" t="inlineStr">
        <is>
          <t>MAS target price</t>
        </is>
      </c>
      <c r="C33" s="6" t="inlineStr">
        <is>
          <t>33,800</t>
        </is>
      </c>
      <c r="D33" s="6" t="inlineStr">
        <is>
          <t>VND/share</t>
        </is>
      </c>
      <c r="E33" s="6" t="inlineStr">
        <is>
          <t>MAS</t>
        </is>
      </c>
      <c r="F33" s="7" t="inlineStr">
        <is>
          <t>Stock_Pick_and_Forecast_Aug26_MAS_RS_EN_updated.xlsx, Target Price sheet row 7</t>
        </is>
      </c>
      <c r="G33" s="7" t="inlineStr">
        <is>
          <t>Pre-dilution basis. After a 26.04% stock dividend this is ~26,800 — say "pre-dilution" if asked.</t>
        </is>
      </c>
    </row>
    <row r="34">
      <c r="A34" s="6" t="n">
        <v>24</v>
      </c>
      <c r="B34" s="6" t="inlineStr">
        <is>
          <t>Upside to TP</t>
        </is>
      </c>
      <c r="C34" s="6" t="inlineStr">
        <is>
          <t>+37.4%</t>
        </is>
      </c>
      <c r="D34" s="6" t="inlineStr">
        <is>
          <t>%</t>
        </is>
      </c>
      <c r="E34" s="6" t="inlineStr">
        <is>
          <t>DERIVED</t>
        </is>
      </c>
      <c r="F34" s="7">
        <f> 33,800 / 24,600 − 1</f>
        <v/>
      </c>
      <c r="G34" s="7" t="inlineStr">
        <is>
          <t>Moves with the price; recheck on the day.</t>
        </is>
      </c>
    </row>
    <row r="35">
      <c r="A35" s="6" t="n">
        <v>25</v>
      </c>
      <c r="B35" s="6" t="inlineStr">
        <is>
          <t>MAS 2026F NPATMI</t>
        </is>
      </c>
      <c r="C35" s="6" t="inlineStr">
        <is>
          <t>29,056</t>
        </is>
      </c>
      <c r="D35" s="6" t="inlineStr">
        <is>
          <t>VNDbn</t>
        </is>
      </c>
      <c r="E35" s="6" t="inlineStr">
        <is>
          <t>MAS</t>
        </is>
      </c>
      <c r="F35" s="7" t="inlineStr">
        <is>
          <t>Same file</t>
        </is>
      </c>
      <c r="G35" s="7" t="inlineStr"/>
    </row>
    <row r="36">
      <c r="A36" s="6" t="n">
        <v>26</v>
      </c>
      <c r="B36" s="6" t="inlineStr">
        <is>
          <t>MAS 2027F NPATMI</t>
        </is>
      </c>
      <c r="C36" s="6" t="inlineStr">
        <is>
          <t>36,119 (+24.3%)</t>
        </is>
      </c>
      <c r="D36" s="6" t="inlineStr">
        <is>
          <t>VNDbn</t>
        </is>
      </c>
      <c r="E36" s="6" t="inlineStr">
        <is>
          <t>MAS</t>
        </is>
      </c>
      <c r="F36" s="7" t="inlineStr">
        <is>
          <t>Same file</t>
        </is>
      </c>
      <c r="G36" s="7" t="inlineStr"/>
    </row>
    <row r="37">
      <c r="B37" s="5" t="inlineStr">
        <is>
          <t>KNOWN GAPS — read before recording</t>
        </is>
      </c>
    </row>
    <row r="38">
      <c r="A38" s="6" t="n">
        <v>27</v>
      </c>
      <c r="B38" s="6" t="inlineStr">
        <is>
          <t>G1 FY25 NPATMI not sourced</t>
        </is>
      </c>
      <c r="C38" s="6" t="inlineStr">
        <is>
          <t>—</t>
        </is>
      </c>
      <c r="D38" s="6" t="inlineStr"/>
      <c r="E38" s="6" t="inlineStr">
        <is>
          <t>GAP</t>
        </is>
      </c>
      <c r="F38" s="7" t="inlineStr"/>
      <c r="G38" s="7" t="inlineStr">
        <is>
          <t>So the script quotes no 2026F NPATMI growth rate. Only the absolute 2026F/2027F figures and the 2027F growth are used.</t>
        </is>
      </c>
    </row>
    <row r="39">
      <c r="A39" s="6" t="n">
        <v>28</v>
      </c>
      <c r="B39" s="6" t="inlineStr">
        <is>
          <t>G2 Forecast looks stale</t>
        </is>
      </c>
      <c r="C39" s="6" t="inlineStr">
        <is>
          <t>—</t>
        </is>
      </c>
      <c r="D39" s="6" t="inlineStr"/>
      <c r="E39" s="6" t="inlineStr">
        <is>
          <t>GAP</t>
        </is>
      </c>
      <c r="F39" s="7" t="inlineStr"/>
      <c r="G39" s="7" t="inlineStr">
        <is>
          <t>MAS 2026F NPATMI 29,056 implies PBT materially below the 41,323 plan, yet 1H26 is already at ~46% of plan and 2Q26 set a record. The VPB model looks due for an upgrade; not revised for this HotStock.</t>
        </is>
      </c>
    </row>
    <row r="40">
      <c r="A40" s="6" t="n">
        <v>29</v>
      </c>
      <c r="B40" s="6" t="inlineStr">
        <is>
          <t>G3 No NPL chart</t>
        </is>
      </c>
      <c r="C40" s="6" t="inlineStr">
        <is>
          <t>—</t>
        </is>
      </c>
      <c r="D40" s="6" t="inlineStr"/>
      <c r="E40" s="6" t="inlineStr">
        <is>
          <t>GAP</t>
        </is>
      </c>
      <c r="F40" s="7" t="inlineStr"/>
      <c r="G40" s="7" t="inlineStr">
        <is>
          <t>Quarterly NPL bucket data for VPB was not obtained, so the deck carries two PBT charts (quarterly and half-yearly) instead of the profit + NPL pair used in the STB/EIB mobile reports. Spec allows 1-2 visuals.</t>
        </is>
      </c>
    </row>
    <row r="41">
      <c r="A41" s="6" t="n">
        <v>30</v>
      </c>
      <c r="B41" s="6" t="inlineStr">
        <is>
          <t>G4 TP predates 2Q26</t>
        </is>
      </c>
      <c r="C41" s="6" t="inlineStr">
        <is>
          <t>—</t>
        </is>
      </c>
      <c r="D41" s="6" t="inlineStr"/>
      <c r="E41" s="6" t="inlineStr">
        <is>
          <t>GAP</t>
        </is>
      </c>
      <c r="F41" s="7" t="inlineStr"/>
      <c r="G41" s="7" t="inlineStr">
        <is>
          <t>TP 33,800 was set before the 2Q26 print and has not been re-derived here.</t>
        </is>
      </c>
    </row>
    <row r="42">
      <c r="A42" s="6" t="n">
        <v>31</v>
      </c>
      <c r="B42" s="6" t="inlineStr">
        <is>
          <t>G5 Derived quarters</t>
        </is>
      </c>
      <c r="C42" s="6" t="inlineStr">
        <is>
          <t>—</t>
        </is>
      </c>
      <c r="D42" s="6" t="inlineStr"/>
      <c r="E42" s="6" t="inlineStr">
        <is>
          <t>GAP</t>
        </is>
      </c>
      <c r="F42" s="7" t="inlineStr"/>
      <c r="G42" s="7" t="inlineStr">
        <is>
          <t>3Q25 and 4Q25 chart columns are arithmetic on rounded cumulative disclosures — footnoted on the slide.</t>
        </is>
      </c>
    </row>
    <row r="43">
      <c r="A43" s="6" t="n">
        <v>32</v>
      </c>
      <c r="B43" s="6" t="inlineStr">
        <is>
          <t>G6 No visual QA</t>
        </is>
      </c>
      <c r="C43" s="6" t="inlineStr">
        <is>
          <t>—</t>
        </is>
      </c>
      <c r="D43" s="6" t="inlineStr"/>
      <c r="E43" s="6" t="inlineStr">
        <is>
          <t>GAP</t>
        </is>
      </c>
      <c r="F43" s="7" t="inlineStr"/>
      <c r="G43" s="7" t="inlineStr">
        <is>
          <t>LibreOffice cannot open .pptx in this environment, so slide layout was verified by XML/text inspection only. Open the deck once before recording — SmartArt text is longer than the template original and PowerPoint will re-fit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2026-07-28T07:08:55Z</dcterms:created>
  <dcterms:modified xmlns:dcterms="http://purl.org/dc/terms/" xmlns:xsi="http://www.w3.org/2001/XMLSchema-instance" xsi:type="dcterms:W3CDTF">2026-07-30T06:39:32Z</dcterms:modified>
</cp:coreProperties>
</file>