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ources &amp; Assumption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color rgb="00C00000"/>
      <sz val="11"/>
    </font>
    <font>
      <name val="Arial"/>
      <i val="1"/>
      <sz val="9"/>
    </font>
    <font>
      <name val="Arial"/>
      <b val="1"/>
      <sz val="10"/>
    </font>
    <font>
      <name val="Arial"/>
      <sz val="10"/>
    </font>
    <font>
      <name val="Arial"/>
      <color rgb="00C00000"/>
      <sz val="10"/>
    </font>
  </fonts>
  <fills count="4">
    <fill>
      <patternFill/>
    </fill>
    <fill>
      <patternFill patternType="gray125"/>
    </fill>
    <fill>
      <patternFill patternType="solid">
        <fgColor rgb="00D9D9D9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thin">
        <color rgb="00BFBFBF"/>
      </bottom>
    </border>
  </borders>
  <cellStyleXfs count="1">
    <xf numFmtId="0" fontId="0" fillId="0" borderId="0"/>
  </cellStyleXfs>
  <cellXfs count="13">
    <xf numFmtId="0" fontId="0" fillId="0" borderId="0" pivotButton="0" quotePrefix="0" xfId="0"/>
    <xf numFmtId="0" fontId="1" fillId="0" borderId="0" pivotButton="0" quotePrefix="0" xfId="0"/>
    <xf numFmtId="0" fontId="2" fillId="0" borderId="0" applyAlignment="1" pivotButton="0" quotePrefix="0" xfId="0">
      <alignment vertical="top" wrapText="1"/>
    </xf>
    <xf numFmtId="0" fontId="3" fillId="2" borderId="1" pivotButton="0" quotePrefix="0" xfId="0"/>
    <xf numFmtId="0" fontId="4" fillId="2" borderId="0" pivotButton="0" quotePrefix="0" xfId="0"/>
    <xf numFmtId="0" fontId="3" fillId="2" borderId="0" pivotButton="0" quotePrefix="0" xfId="0"/>
    <xf numFmtId="0" fontId="4" fillId="0" borderId="0" pivotButton="0" quotePrefix="0" xfId="0"/>
    <xf numFmtId="0" fontId="4" fillId="0" borderId="0" applyAlignment="1" pivotButton="0" quotePrefix="0" xfId="0">
      <alignment vertical="top" wrapText="1"/>
    </xf>
    <xf numFmtId="0" fontId="4" fillId="3" borderId="0" pivotButton="0" quotePrefix="0" xfId="0"/>
    <xf numFmtId="0" fontId="4" fillId="3" borderId="0" applyAlignment="1" pivotButton="0" quotePrefix="0" xfId="0">
      <alignment vertical="top" wrapText="1"/>
    </xf>
    <xf numFmtId="0" fontId="3" fillId="0" borderId="0" pivotButton="0" quotePrefix="0" xfId="0"/>
    <xf numFmtId="0" fontId="3" fillId="0" borderId="0" applyAlignment="1" pivotButton="0" quotePrefix="0" xfId="0">
      <alignment vertical="top" wrapText="1"/>
    </xf>
    <xf numFmtId="0" fontId="5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59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6" customWidth="1" min="1" max="1"/>
    <col width="38" customWidth="1" min="2" max="2"/>
    <col width="22" customWidth="1" min="3" max="3"/>
    <col width="8" customWidth="1" min="4" max="4"/>
    <col width="15" customWidth="1" min="5" max="5"/>
    <col width="52" customWidth="1" min="6" max="6"/>
    <col width="64" customWidth="1" min="7" max="7"/>
  </cols>
  <sheetData>
    <row r="1">
      <c r="A1" s="1" t="inlineStr">
        <is>
          <t>INTERNAL — NOT FOR DISTRIBUTION</t>
        </is>
      </c>
    </row>
    <row r="2">
      <c r="A2" s="2" t="inlineStr">
        <is>
          <t>Sources &amp; assumptions record for the Aug-26 Stock Pick file (VRE, FPT). Keep this file internal; the client-facing workbook carries no provenance tab.</t>
        </is>
      </c>
    </row>
    <row r="3" ht="30" customHeight="1">
      <c r="A3" s="2" t="inlineStr">
        <is>
          <t>RULE: no figure enters a client-facing cell without a source tag below. MODEL = a cell in our own model · COMPANY = disclosure/plan/AGM · PRESS = media (outlet + date) · MAS = our estimate, which must show its build · UNVERIFIED = single unconfirmed source (red). Conflicts are listed, not silently resolved.</t>
        </is>
      </c>
    </row>
    <row r="5">
      <c r="A5" s="3" t="inlineStr">
        <is>
          <t>#</t>
        </is>
      </c>
      <c r="B5" s="3" t="inlineStr">
        <is>
          <t>Item</t>
        </is>
      </c>
      <c r="C5" s="3" t="inlineStr">
        <is>
          <t>Value</t>
        </is>
      </c>
      <c r="D5" s="3" t="inlineStr">
        <is>
          <t>Unit</t>
        </is>
      </c>
      <c r="E5" s="3" t="inlineStr">
        <is>
          <t>Source type</t>
        </is>
      </c>
      <c r="F5" s="3" t="inlineStr">
        <is>
          <t>Source detail / date</t>
        </is>
      </c>
      <c r="G5" s="3" t="inlineStr">
        <is>
          <t>Status &amp; notes</t>
        </is>
      </c>
    </row>
    <row r="6" ht="18" customHeight="1">
      <c r="A6" s="4" t="inlineStr"/>
      <c r="B6" s="5" t="inlineStr">
        <is>
          <t>VRE — FY25 REPORTED</t>
        </is>
      </c>
      <c r="C6" s="4" t="inlineStr"/>
      <c r="D6" s="4" t="inlineStr"/>
      <c r="E6" s="4" t="inlineStr"/>
      <c r="F6" s="4" t="inlineStr"/>
      <c r="G6" s="4" t="inlineStr"/>
    </row>
    <row r="7" ht="32" customHeight="1">
      <c r="A7" s="6" t="inlineStr">
        <is>
          <t>1</t>
        </is>
      </c>
      <c r="B7" s="6" t="inlineStr">
        <is>
          <t>Net revenue FY25</t>
        </is>
      </c>
      <c r="C7" s="6" t="inlineStr">
        <is>
          <t>8,712</t>
        </is>
      </c>
      <c r="D7" s="6" t="inlineStr">
        <is>
          <t>VNDbn</t>
        </is>
      </c>
      <c r="E7" s="6" t="inlineStr">
        <is>
          <t>PRESS + COMPANY</t>
        </is>
      </c>
      <c r="F7" s="7" t="inlineStr">
        <is>
          <t>FY25 results coverage; cross-checks to the FY26 plan (10,132 stated +16% YoY -&gt; implies 8,734)</t>
        </is>
      </c>
      <c r="G7" s="7" t="inlineStr">
        <is>
          <t>RECONCILED. NOT an adjusted figure — FY25 one-offs sat in financial income, below the revenue line. Model Summary!K157 shows 9,074 but that column is a 2025F forecast, not an actual.</t>
        </is>
      </c>
    </row>
    <row r="8" ht="32" customHeight="1">
      <c r="A8" s="6" t="inlineStr">
        <is>
          <t>2</t>
        </is>
      </c>
      <c r="B8" s="6" t="inlineStr">
        <is>
          <t>Leasing revenue FY25</t>
        </is>
      </c>
      <c r="C8" s="6" t="inlineStr">
        <is>
          <t>8,400</t>
        </is>
      </c>
      <c r="D8" s="6" t="inlineStr">
        <is>
          <t>VNDbn</t>
        </is>
      </c>
      <c r="E8" s="6" t="inlineStr">
        <is>
          <t>PRESS</t>
        </is>
      </c>
      <c r="F8" s="7" t="inlineStr">
        <is>
          <t>FY25 results coverage, +8.3% YoY</t>
        </is>
      </c>
      <c r="G8" s="7" t="inlineStr">
        <is>
          <t>Single source; consistent with model leasing 2025F of 8,311.</t>
        </is>
      </c>
    </row>
    <row r="9" ht="32" customHeight="1">
      <c r="A9" s="6" t="inlineStr">
        <is>
          <t>3</t>
        </is>
      </c>
      <c r="B9" s="6" t="inlineStr">
        <is>
          <t>NPAT FY25 (reported)</t>
        </is>
      </c>
      <c r="C9" s="6" t="inlineStr">
        <is>
          <t>6,446</t>
        </is>
      </c>
      <c r="D9" s="6" t="inlineStr">
        <is>
          <t>VNDbn</t>
        </is>
      </c>
      <c r="E9" s="6" t="inlineStr">
        <is>
          <t>COMPANY</t>
        </is>
      </c>
      <c r="F9" s="7" t="inlineStr">
        <is>
          <t>FY25 results announcement, +57.3% YoY</t>
        </is>
      </c>
      <c r="G9" s="7" t="inlineStr">
        <is>
          <t>Confirmed by multiple outlets.</t>
        </is>
      </c>
    </row>
    <row r="10" ht="32" customHeight="1">
      <c r="A10" s="6" t="inlineStr">
        <is>
          <t>4</t>
        </is>
      </c>
      <c r="B10" s="6" t="inlineStr">
        <is>
          <t>NPAT FY25 (adjusted)</t>
        </is>
      </c>
      <c r="C10" s="6" t="inlineStr">
        <is>
          <t>4,694</t>
        </is>
      </c>
      <c r="D10" s="6" t="inlineStr">
        <is>
          <t>VNDbn</t>
        </is>
      </c>
      <c r="E10" s="6" t="inlineStr">
        <is>
          <t>COMPANY</t>
        </is>
      </c>
      <c r="F10" s="7" t="inlineStr">
        <is>
          <t>Ex one-off financial income (Vincom Center Nguyen Chi Thanh stake transfer), +16.3% YoY</t>
        </is>
      </c>
      <c r="G10" s="7" t="inlineStr">
        <is>
          <t>"Adjusted" applies to PROFIT ONLY.</t>
        </is>
      </c>
    </row>
    <row r="11" ht="32" customHeight="1">
      <c r="A11" s="6" t="inlineStr">
        <is>
          <t>5</t>
        </is>
      </c>
      <c r="B11" s="6" t="inlineStr">
        <is>
          <t>NPAT FY25 (model base)</t>
        </is>
      </c>
      <c r="C11" s="6" t="inlineStr">
        <is>
          <t>6,367</t>
        </is>
      </c>
      <c r="D11" s="6" t="inlineStr">
        <is>
          <t>VNDbn</t>
        </is>
      </c>
      <c r="E11" s="6" t="inlineStr">
        <is>
          <t>MODEL</t>
        </is>
      </c>
      <c r="F11" s="7" t="inlineStr">
        <is>
          <t>VRE_1Q26_v2_linked2.xlsx Summary!K158</t>
        </is>
      </c>
      <c r="G11" s="7" t="inlineStr">
        <is>
          <t>Col-H growth denominator, for cross-ticker consistency; differs from the 6,446 reported.</t>
        </is>
      </c>
    </row>
    <row r="12" ht="18" customHeight="1">
      <c r="A12" s="4" t="inlineStr"/>
      <c r="B12" s="5" t="inlineStr">
        <is>
          <t>VRE — 1Q26 REPORTED</t>
        </is>
      </c>
      <c r="C12" s="4" t="inlineStr"/>
      <c r="D12" s="4" t="inlineStr"/>
      <c r="E12" s="4" t="inlineStr"/>
      <c r="F12" s="4" t="inlineStr"/>
      <c r="G12" s="4" t="inlineStr"/>
    </row>
    <row r="13" ht="32" customHeight="1">
      <c r="A13" s="6" t="inlineStr">
        <is>
          <t>6</t>
        </is>
      </c>
      <c r="B13" s="6" t="inlineStr">
        <is>
          <t>Net revenue 1Q26</t>
        </is>
      </c>
      <c r="C13" s="6" t="inlineStr">
        <is>
          <t>2,574</t>
        </is>
      </c>
      <c r="D13" s="6" t="inlineStr">
        <is>
          <t>VNDbn</t>
        </is>
      </c>
      <c r="E13" s="6" t="inlineStr">
        <is>
          <t>PRESS</t>
        </is>
      </c>
      <c r="F13" s="7" t="inlineStr">
        <is>
          <t>1Q26 results coverage, +20.7% YoY</t>
        </is>
      </c>
      <c r="G13" s="7" t="inlineStr">
        <is>
          <t>Reported. An earlier draft wrongly labelled this "adjusted" — no source described it that way. Corrected.</t>
        </is>
      </c>
    </row>
    <row r="14" ht="32" customHeight="1">
      <c r="A14" s="6" t="inlineStr">
        <is>
          <t>7</t>
        </is>
      </c>
      <c r="B14" s="6" t="inlineStr">
        <is>
          <t>NPAT 1Q26</t>
        </is>
      </c>
      <c r="C14" s="6" t="inlineStr">
        <is>
          <t>1,606</t>
        </is>
      </c>
      <c r="D14" s="6" t="inlineStr">
        <is>
          <t>VNDbn</t>
        </is>
      </c>
      <c r="E14" s="6" t="inlineStr">
        <is>
          <t>PRESS</t>
        </is>
      </c>
      <c r="F14" s="7" t="inlineStr">
        <is>
          <t>1Q26 results coverage, +36.4% YoY</t>
        </is>
      </c>
      <c r="G14" s="7" t="inlineStr">
        <is>
          <t>Confirmed by multiple outlets.</t>
        </is>
      </c>
    </row>
    <row r="15" ht="18" customHeight="1">
      <c r="A15" s="4" t="inlineStr"/>
      <c r="B15" s="5" t="inlineStr">
        <is>
          <t>VRE — FY26F</t>
        </is>
      </c>
      <c r="C15" s="4" t="inlineStr"/>
      <c r="D15" s="4" t="inlineStr"/>
      <c r="E15" s="4" t="inlineStr"/>
      <c r="F15" s="4" t="inlineStr"/>
      <c r="G15" s="4" t="inlineStr"/>
    </row>
    <row r="16" ht="32" customHeight="1">
      <c r="A16" s="6" t="inlineStr">
        <is>
          <t>8</t>
        </is>
      </c>
      <c r="B16" s="6" t="inlineStr">
        <is>
          <t>FY26 revenue plan</t>
        </is>
      </c>
      <c r="C16" s="6" t="inlineStr">
        <is>
          <t>10,132</t>
        </is>
      </c>
      <c r="D16" s="6" t="inlineStr">
        <is>
          <t>VNDbn</t>
        </is>
      </c>
      <c r="E16" s="6" t="inlineStr">
        <is>
          <t>COMPANY</t>
        </is>
      </c>
      <c r="F16" s="7" t="inlineStr">
        <is>
          <t>2026 AGM, 23-Apr-2026</t>
        </is>
      </c>
      <c r="G16" s="7" t="inlineStr">
        <is>
          <t>Board-approved.</t>
        </is>
      </c>
    </row>
    <row r="17" ht="32" customHeight="1">
      <c r="A17" s="6" t="inlineStr">
        <is>
          <t>9</t>
        </is>
      </c>
      <c r="B17" s="6" t="inlineStr">
        <is>
          <t>FY26 NPAT plan</t>
        </is>
      </c>
      <c r="C17" s="6" t="inlineStr">
        <is>
          <t>5,375</t>
        </is>
      </c>
      <c r="D17" s="6" t="inlineStr">
        <is>
          <t>VNDbn</t>
        </is>
      </c>
      <c r="E17" s="6" t="inlineStr">
        <is>
          <t>COMPANY</t>
        </is>
      </c>
      <c r="F17" s="7" t="inlineStr">
        <is>
          <t>2026 AGM, 23-Apr-2026</t>
        </is>
      </c>
      <c r="G17" s="7" t="inlineStr">
        <is>
          <t>Board-approved.</t>
        </is>
      </c>
    </row>
    <row r="18" ht="32" customHeight="1">
      <c r="A18" s="6" t="inlineStr">
        <is>
          <t>10</t>
        </is>
      </c>
      <c r="B18" s="6" t="inlineStr">
        <is>
          <t>MAS FY26F net revenue</t>
        </is>
      </c>
      <c r="C18" s="6" t="inlineStr">
        <is>
          <t>10,639</t>
        </is>
      </c>
      <c r="D18" s="6" t="inlineStr">
        <is>
          <t>VNDbn</t>
        </is>
      </c>
      <c r="E18" s="6" t="inlineStr">
        <is>
          <t>MAS</t>
        </is>
      </c>
      <c r="F18" s="7" t="inlineStr">
        <is>
          <t>plan x 1.05, per analyst instruction</t>
        </is>
      </c>
      <c r="G18" s="7" t="inlineStr">
        <is>
          <t>—</t>
        </is>
      </c>
    </row>
    <row r="19" ht="32" customHeight="1">
      <c r="A19" s="6" t="inlineStr">
        <is>
          <t>11</t>
        </is>
      </c>
      <c r="B19" s="6" t="inlineStr">
        <is>
          <t>MAS FY26F NPATMI</t>
        </is>
      </c>
      <c r="C19" s="6" t="inlineStr">
        <is>
          <t>5,483</t>
        </is>
      </c>
      <c r="D19" s="6" t="inlineStr">
        <is>
          <t>VNDbn</t>
        </is>
      </c>
      <c r="E19" s="6" t="inlineStr">
        <is>
          <t>MAS</t>
        </is>
      </c>
      <c r="F19" s="7" t="inlineStr">
        <is>
          <t>plan x 1.02, per analyst instruction</t>
        </is>
      </c>
      <c r="G19" s="7" t="inlineStr">
        <is>
          <t>Implies a 51.5% net margin vs ~53.0% in plan.</t>
        </is>
      </c>
    </row>
    <row r="20" ht="18" customHeight="1">
      <c r="A20" s="4" t="inlineStr"/>
      <c r="B20" s="5" t="inlineStr">
        <is>
          <t>VRE — FY27F BUILD (adopted)</t>
        </is>
      </c>
      <c r="C20" s="4" t="inlineStr"/>
      <c r="D20" s="4" t="inlineStr"/>
      <c r="E20" s="4" t="inlineStr"/>
      <c r="F20" s="4" t="inlineStr"/>
      <c r="G20" s="4" t="inlineStr"/>
    </row>
    <row r="21" ht="32" customHeight="1">
      <c r="A21" s="6" t="inlineStr">
        <is>
          <t>12</t>
        </is>
      </c>
      <c r="B21" s="6" t="inlineStr">
        <is>
          <t>FY26F NPATMI base</t>
        </is>
      </c>
      <c r="C21" s="6" t="inlineStr">
        <is>
          <t>5,483</t>
        </is>
      </c>
      <c r="D21" s="6" t="inlineStr">
        <is>
          <t>VNDbn</t>
        </is>
      </c>
      <c r="E21" s="6" t="inlineStr">
        <is>
          <t>MAS</t>
        </is>
      </c>
      <c r="F21" s="7" t="inlineStr">
        <is>
          <t>row 11</t>
        </is>
      </c>
      <c r="G21" s="7" t="inlineStr">
        <is>
          <t>—</t>
        </is>
      </c>
    </row>
    <row r="22" ht="32" customHeight="1">
      <c r="A22" s="6" t="inlineStr">
        <is>
          <t>13</t>
        </is>
      </c>
      <c r="B22" s="6" t="inlineStr">
        <is>
          <t>+ organic leasing growth</t>
        </is>
      </c>
      <c r="C22" s="6" t="inlineStr">
        <is>
          <t>439</t>
        </is>
      </c>
      <c r="D22" s="6" t="inlineStr">
        <is>
          <t>VNDbn</t>
        </is>
      </c>
      <c r="E22" s="6" t="inlineStr">
        <is>
          <t>MAS</t>
        </is>
      </c>
      <c r="F22" s="7" t="inlineStr">
        <is>
          <t>+8.0% on base: 2026 GFA additions annualise; occupancy 88.1% (end-2025) recovering</t>
        </is>
      </c>
      <c r="G22" s="7" t="inlineStr">
        <is>
          <t>Model GFA +5.2%; +8% profit growth assumes modest operating leverage.</t>
        </is>
      </c>
    </row>
    <row r="23" ht="32" customHeight="1">
      <c r="A23" s="8" t="inlineStr">
        <is>
          <t>14</t>
        </is>
      </c>
      <c r="B23" s="8" t="inlineStr">
        <is>
          <t>+ shophouse handover</t>
        </is>
      </c>
      <c r="C23" s="8" t="inlineStr">
        <is>
          <t>383</t>
        </is>
      </c>
      <c r="D23" s="8" t="inlineStr">
        <is>
          <t>VNDbn</t>
        </is>
      </c>
      <c r="E23" s="8" t="inlineStr">
        <is>
          <t>MAS</t>
        </is>
      </c>
      <c r="F23" s="9" t="inlineStr">
        <is>
          <t>~30% of the VND1,575bn guided first-year gross profit, taxed at 20%</t>
        </is>
      </c>
      <c r="G23" s="9" t="inlineStr">
        <is>
          <t>DELIBERATELY HAIRCUT — see conflicts below.</t>
        </is>
      </c>
    </row>
    <row r="24" ht="32" customHeight="1">
      <c r="A24" s="10" t="inlineStr">
        <is>
          <t>15</t>
        </is>
      </c>
      <c r="B24" s="10">
        <f> FY27F NPATMI</f>
        <v/>
      </c>
      <c r="C24" s="10" t="inlineStr">
        <is>
          <t>6,305</t>
        </is>
      </c>
      <c r="D24" s="10" t="inlineStr">
        <is>
          <t>VNDbn</t>
        </is>
      </c>
      <c r="E24" s="10" t="inlineStr">
        <is>
          <t>MAS</t>
        </is>
      </c>
      <c r="F24" s="11" t="inlineStr">
        <is>
          <t>rows 12+13+14</t>
        </is>
      </c>
      <c r="G24" s="11" t="inlineStr">
        <is>
          <t>+15.0% YoY.</t>
        </is>
      </c>
    </row>
    <row r="25" ht="18" customHeight="1">
      <c r="A25" s="4" t="inlineStr"/>
      <c r="B25" s="5" t="inlineStr">
        <is>
          <t>FY27F SCENARIOS</t>
        </is>
      </c>
      <c r="C25" s="4" t="inlineStr"/>
      <c r="D25" s="4" t="inlineStr"/>
      <c r="E25" s="4" t="inlineStr"/>
      <c r="F25" s="4" t="inlineStr"/>
      <c r="G25" s="4" t="inlineStr"/>
    </row>
    <row r="26" ht="32" customHeight="1">
      <c r="A26" s="6" t="inlineStr">
        <is>
          <t>16</t>
        </is>
      </c>
      <c r="B26" s="6" t="inlineStr">
        <is>
          <t>Low — leasing only</t>
        </is>
      </c>
      <c r="C26" s="6" t="inlineStr">
        <is>
          <t>5,922</t>
        </is>
      </c>
      <c r="D26" s="6" t="inlineStr">
        <is>
          <t>VNDbn</t>
        </is>
      </c>
      <c r="E26" s="6" t="inlineStr">
        <is>
          <t>MAS</t>
        </is>
      </c>
      <c r="F26" s="7" t="inlineStr">
        <is>
          <t>5,483 x 1.08</t>
        </is>
      </c>
      <c r="G26" s="7" t="inlineStr">
        <is>
          <t>+8.0%. Credits nothing to shophouses.</t>
        </is>
      </c>
    </row>
    <row r="27" ht="32" customHeight="1">
      <c r="A27" s="10" t="inlineStr">
        <is>
          <t>17</t>
        </is>
      </c>
      <c r="B27" s="10" t="inlineStr">
        <is>
          <t>Base — adopted</t>
        </is>
      </c>
      <c r="C27" s="10" t="inlineStr">
        <is>
          <t>6,305</t>
        </is>
      </c>
      <c r="D27" s="10" t="inlineStr">
        <is>
          <t>VNDbn</t>
        </is>
      </c>
      <c r="E27" s="10" t="inlineStr">
        <is>
          <t>MAS</t>
        </is>
      </c>
      <c r="F27" s="11" t="inlineStr">
        <is>
          <t>row 15</t>
        </is>
      </c>
      <c r="G27" s="11" t="inlineStr">
        <is>
          <t>+15.0%. ~30% of guided shophouse GP.</t>
        </is>
      </c>
    </row>
    <row r="28" ht="32" customHeight="1">
      <c r="A28" s="6" t="inlineStr">
        <is>
          <t>18</t>
        </is>
      </c>
      <c r="B28" s="6" t="inlineStr">
        <is>
          <t>High — full handover</t>
        </is>
      </c>
      <c r="C28" s="6" t="inlineStr">
        <is>
          <t>6,580</t>
        </is>
      </c>
      <c r="D28" s="6" t="inlineStr">
        <is>
          <t>VNDbn</t>
        </is>
      </c>
      <c r="E28" s="6" t="inlineStr">
        <is>
          <t>MAS</t>
        </is>
      </c>
      <c r="F28" s="7" t="inlineStr">
        <is>
          <t>5,483 x 1.20</t>
        </is>
      </c>
      <c r="G28" s="7" t="inlineStr">
        <is>
          <t>+20.0%. MBS forecasts 6,502 (+19.2%) on a similar view.</t>
        </is>
      </c>
    </row>
    <row r="29" ht="18" customHeight="1">
      <c r="A29" s="4" t="inlineStr"/>
      <c r="B29" s="5" t="inlineStr">
        <is>
          <t>SHOPHOUSE PIPELINE — underlying facts</t>
        </is>
      </c>
      <c r="C29" s="4" t="inlineStr"/>
      <c r="D29" s="4" t="inlineStr"/>
      <c r="E29" s="4" t="inlineStr"/>
      <c r="F29" s="4" t="inlineStr"/>
      <c r="G29" s="4" t="inlineStr"/>
    </row>
    <row r="30" ht="32" customHeight="1">
      <c r="A30" s="6" t="inlineStr">
        <is>
          <t>19</t>
        </is>
      </c>
      <c r="B30" s="6" t="inlineStr">
        <is>
          <t>Deposit paid for shophouse land</t>
        </is>
      </c>
      <c r="C30" s="6" t="inlineStr">
        <is>
          <t>5,480</t>
        </is>
      </c>
      <c r="D30" s="6" t="inlineStr">
        <is>
          <t>VNDbn</t>
        </is>
      </c>
      <c r="E30" s="6" t="inlineStr">
        <is>
          <t>PRESS</t>
        </is>
      </c>
      <c r="F30" s="7" t="inlineStr">
        <is>
          <t>MarketTimes; paid end-2024 for ~109,800 sqm net floor</t>
        </is>
      </c>
      <c r="G30" s="7" t="inlineStr">
        <is>
          <t>~1,200 units: Vinhomes Royal Island (~1,000) + Golden Avenue (~280).</t>
        </is>
      </c>
    </row>
    <row r="31" ht="32" customHeight="1">
      <c r="A31" s="6" t="inlineStr">
        <is>
          <t>20</t>
        </is>
      </c>
      <c r="B31" s="6" t="inlineStr">
        <is>
          <t>Guided gross margin</t>
        </is>
      </c>
      <c r="C31" s="6" t="inlineStr">
        <is>
          <t>45</t>
        </is>
      </c>
      <c r="D31" s="6" t="inlineStr">
        <is>
          <t>%</t>
        </is>
      </c>
      <c r="E31" s="6" t="inlineStr">
        <is>
          <t>PRESS</t>
        </is>
      </c>
      <c r="F31" s="7" t="inlineStr">
        <is>
          <t>Broker/press coverage</t>
        </is>
      </c>
      <c r="G31" s="7" t="inlineStr">
        <is>
          <t>Single-source estimate.</t>
        </is>
      </c>
    </row>
    <row r="32" ht="32" customHeight="1">
      <c r="A32" s="6" t="inlineStr">
        <is>
          <t>21</t>
        </is>
      </c>
      <c r="B32" s="6" t="inlineStr">
        <is>
          <t>Guided gross profit, 1st handover yr</t>
        </is>
      </c>
      <c r="C32" s="6" t="inlineStr">
        <is>
          <t>1,575</t>
        </is>
      </c>
      <c r="D32" s="6" t="inlineStr">
        <is>
          <t>VNDbn</t>
        </is>
      </c>
      <c r="E32" s="6" t="inlineStr">
        <is>
          <t>PRESS</t>
        </is>
      </c>
      <c r="F32" s="7" t="inlineStr">
        <is>
          <t>CafeF, 10-Oct-2025</t>
        </is>
      </c>
      <c r="G32" s="12" t="inlineStr">
        <is>
          <t>UNVERIFIED against company disclosure — indicative only. This is the number our row-14 haircut is applied to.</t>
        </is>
      </c>
    </row>
    <row r="33" ht="32" customHeight="1">
      <c r="A33" s="6" t="inlineStr">
        <is>
          <t>22</t>
        </is>
      </c>
      <c r="B33" s="6" t="inlineStr">
        <is>
          <t>Vincom Collection share of FY26 rev</t>
        </is>
      </c>
      <c r="C33" s="6" t="inlineStr">
        <is>
          <t>1.5-2</t>
        </is>
      </c>
      <c r="D33" s="6" t="inlineStr">
        <is>
          <t>%</t>
        </is>
      </c>
      <c r="E33" s="6" t="inlineStr">
        <is>
          <t>COMPANY</t>
        </is>
      </c>
      <c r="F33" s="7" t="inlineStr">
        <is>
          <t>2026 AGM, 23-Apr-2026</t>
        </is>
      </c>
      <c r="G33" s="7" t="inlineStr">
        <is>
          <t>Confirms the FY26 property contribution is small; the step-up is an FY27 event.</t>
        </is>
      </c>
    </row>
    <row r="34" ht="18" customHeight="1">
      <c r="A34" s="4" t="inlineStr"/>
      <c r="B34" s="5" t="inlineStr">
        <is>
          <t>KNOWN CONFLICTS &amp; OPEN ITEMS</t>
        </is>
      </c>
      <c r="C34" s="4" t="inlineStr"/>
      <c r="D34" s="4" t="inlineStr"/>
      <c r="E34" s="4" t="inlineStr"/>
      <c r="F34" s="4" t="inlineStr"/>
      <c r="G34" s="4" t="inlineStr"/>
    </row>
    <row r="35" ht="32" customHeight="1">
      <c r="A35" s="6" t="inlineStr">
        <is>
          <t>C1</t>
        </is>
      </c>
      <c r="B35" s="6" t="inlineStr">
        <is>
          <t>Shophouse timing has already slipped once</t>
        </is>
      </c>
      <c r="C35" s="6" t="inlineStr"/>
      <c r="D35" s="6" t="inlineStr"/>
      <c r="E35" s="6" t="inlineStr"/>
      <c r="F35" s="7" t="inlineStr">
        <is>
          <t>CafeF (Oct-2025) put the step-up in FY26; the Apr-2026 AGM moved it to "from 2027"</t>
        </is>
      </c>
      <c r="G35" s="12" t="inlineStr">
        <is>
          <t>Primary reason for the row-14 haircut.</t>
        </is>
      </c>
    </row>
    <row r="36" ht="32" customHeight="1">
      <c r="A36" s="6" t="inlineStr">
        <is>
          <t>C2</t>
        </is>
      </c>
      <c r="B36" s="6" t="inlineStr">
        <is>
          <t>Historic volatility of the property line</t>
        </is>
      </c>
      <c r="C36" s="6" t="inlineStr">
        <is>
          <t>381-3,433</t>
        </is>
      </c>
      <c r="D36" s="6" t="inlineStr">
        <is>
          <t>VNDbn</t>
        </is>
      </c>
      <c r="E36" s="6" t="inlineStr">
        <is>
          <t>MODEL</t>
        </is>
      </c>
      <c r="F36" s="7" t="inlineStr">
        <is>
          <t>VRE model IS!r78 "Sale of investment properties", FY18-FY24 range</t>
        </is>
      </c>
      <c r="G36" s="12" t="inlineStr">
        <is>
          <t>Handover timing is the largest single swing factor in FY27.</t>
        </is>
      </c>
    </row>
    <row r="37" ht="32" customHeight="1">
      <c r="A37" s="6" t="inlineStr">
        <is>
          <t>C3</t>
        </is>
      </c>
      <c r="B37" s="6" t="inlineStr">
        <is>
          <t>BVPS / P-B basis — RESTATED</t>
        </is>
      </c>
      <c r="C37" s="6" t="inlineStr">
        <is>
          <t>21,563 / 23,283</t>
        </is>
      </c>
      <c r="D37" s="6" t="inlineStr">
        <is>
          <t>VND</t>
        </is>
      </c>
      <c r="E37" s="6" t="inlineStr">
        <is>
          <t>MAS</t>
        </is>
      </c>
      <c r="F37" s="7" t="inlineStr">
        <is>
          <t>Rebuilt from FY25 BVPS 20,196 (VRE model BS!K136) + our NPATMI less the ~VND2.3tn cash dividend</t>
        </is>
      </c>
      <c r="G37" s="12" t="inlineStr">
        <is>
          <t>Model BS!L136/M136 (22,798/25,513) NOT used: it embeds FY26/27 NI of 5,913/6,170 rather than our 5,483/6,305, its equity roll-forward returns #DIV/0! in the forecast columns (Equity!L16/M16), and it assumes ZERO dividends despite the first cash payout in 7 years (~VND2.3tn, Jul-2026). Restating lifts P/B from 1.23x/1.10x to 1.30x/1.20x. FY27 assumes the dividend repeats; if not, BVPS27 = 24,270 and P/B27 = 1.15x.</t>
        </is>
      </c>
    </row>
    <row r="38" ht="32" customHeight="1">
      <c r="A38" s="6" t="inlineStr">
        <is>
          <t>C4</t>
        </is>
      </c>
      <c r="B38" s="6" t="inlineStr">
        <is>
          <t>FY28F</t>
        </is>
      </c>
      <c r="C38" s="6" t="inlineStr">
        <is>
          <t>n/a</t>
        </is>
      </c>
      <c r="D38" s="6" t="inlineStr"/>
      <c r="E38" s="6" t="inlineStr">
        <is>
          <t>—</t>
        </is>
      </c>
      <c r="F38" s="7" t="inlineStr">
        <is>
          <t>VRE model and Stock Pick tab both stop at FY27F</t>
        </is>
      </c>
      <c r="G38" s="7" t="inlineStr">
        <is>
          <t>No FY28 figure exists; none has been estimated.</t>
        </is>
      </c>
    </row>
    <row r="39" ht="32" customHeight="1">
      <c r="A39" s="6" t="inlineStr">
        <is>
          <t>C5</t>
        </is>
      </c>
      <c r="B39" s="6" t="inlineStr">
        <is>
          <t>A property-led FY27 creates a high FY28 base</t>
        </is>
      </c>
      <c r="C39" s="6" t="inlineStr"/>
      <c r="D39" s="6" t="inlineStr"/>
      <c r="E39" s="6" t="inlineStr">
        <is>
          <t>—</t>
        </is>
      </c>
      <c r="F39" s="7" t="inlineStr">
        <is>
          <t>Analytical note</t>
        </is>
      </c>
      <c r="G39" s="7" t="inlineStr">
        <is>
          <t>Same distortion the FY25 one-offs created for FY26 optics.</t>
        </is>
      </c>
    </row>
    <row r="40" ht="18" customHeight="1">
      <c r="A40" s="4" t="inlineStr"/>
      <c r="B40" s="5" t="inlineStr">
        <is>
          <t>FPT — key overrides</t>
        </is>
      </c>
      <c r="C40" s="4" t="inlineStr"/>
      <c r="D40" s="4" t="inlineStr"/>
      <c r="E40" s="4" t="inlineStr"/>
      <c r="F40" s="4" t="inlineStr"/>
      <c r="G40" s="4" t="inlineStr"/>
    </row>
    <row r="41" ht="32" customHeight="1">
      <c r="A41" s="6" t="inlineStr">
        <is>
          <t>F1</t>
        </is>
      </c>
      <c r="B41" s="6" t="inlineStr">
        <is>
          <t>FY26F/27F/28F NPATMI</t>
        </is>
      </c>
      <c r="C41" s="6" t="inlineStr">
        <is>
          <t>10,943 / 12,518 / 14,156</t>
        </is>
      </c>
      <c r="D41" s="6" t="inlineStr">
        <is>
          <t>VNDbn</t>
        </is>
      </c>
      <c r="E41" s="6" t="inlineStr">
        <is>
          <t>MAS</t>
        </is>
      </c>
      <c r="F41" s="7" t="inlineStr">
        <is>
          <t>Model recalibration; Domestic IT +14.0%, Telecom associates +15% p.a.</t>
        </is>
      </c>
      <c r="G41" s="7" t="inlineStr">
        <is>
          <t>Headcount held at 45,000 per instruction, so FY26F lands at +15.6% not +15.0%.</t>
        </is>
      </c>
    </row>
    <row r="42" ht="32" customHeight="1">
      <c r="A42" s="6" t="inlineStr">
        <is>
          <t>F2</t>
        </is>
      </c>
      <c r="B42" s="6" t="inlineStr">
        <is>
          <t>Target price</t>
        </is>
      </c>
      <c r="C42" s="6" t="inlineStr">
        <is>
          <t>78,750</t>
        </is>
      </c>
      <c r="D42" s="6" t="inlineStr">
        <is>
          <t>VND</t>
        </is>
      </c>
      <c r="E42" s="6" t="inlineStr">
        <is>
          <t>MAS</t>
        </is>
      </c>
      <c r="F42" s="7" t="inlineStr">
        <is>
          <t>Set top-down at +25% on the ~63,000 price (senior-manager instruction)</t>
        </is>
      </c>
      <c r="G42" s="12" t="inlineStr">
        <is>
          <t>Valuation sheet aligned via ERP 8.97% and terminal g 1.5% — an override, not a bottom-up DCF output.</t>
        </is>
      </c>
    </row>
    <row r="43" ht="32" customHeight="1">
      <c r="A43" s="6" t="inlineStr">
        <is>
          <t>F3</t>
        </is>
      </c>
      <c r="B43" s="6" t="inlineStr">
        <is>
          <t>1H26 actuals</t>
        </is>
      </c>
      <c r="C43" s="6" t="inlineStr">
        <is>
          <t>26,269 rev / 5,714 PBT</t>
        </is>
      </c>
      <c r="D43" s="6" t="inlineStr">
        <is>
          <t>VNDbn</t>
        </is>
      </c>
      <c r="E43" s="6" t="inlineStr">
        <is>
          <t>COMPANY</t>
        </is>
      </c>
      <c r="F43" s="7" t="inlineStr">
        <is>
          <t>FPT 1H26 release, 16-Jul-2026</t>
        </is>
      </c>
      <c r="G43" s="7" t="inlineStr">
        <is>
          <t>+12.6% / +18.1% YoY.</t>
        </is>
      </c>
    </row>
    <row r="44" ht="32" customHeight="1">
      <c r="A44" s="6" t="inlineStr">
        <is>
          <t>F4</t>
        </is>
      </c>
      <c r="B44" s="6" t="inlineStr">
        <is>
          <t>2Q26 NPATMI +14% YoY</t>
        </is>
      </c>
      <c r="C44" s="6" t="inlineStr">
        <is>
          <t>2,568</t>
        </is>
      </c>
      <c r="D44" s="6" t="inlineStr">
        <is>
          <t>VNDbn</t>
        </is>
      </c>
      <c r="E44" s="6" t="inlineStr">
        <is>
          <t>PRESS</t>
        </is>
      </c>
      <c r="F44" s="7" t="inlineStr">
        <is>
          <t>CafeF, 16-Jul-2026</t>
        </is>
      </c>
      <c r="G44" s="12" t="inlineStr">
        <is>
          <t>Note: the +14% belongs to NPATMI, NOT PBT — corrected after an earlier draft misattributed it.</t>
        </is>
      </c>
    </row>
    <row r="45"/>
    <row r="46"/>
    <row r="47"/>
    <row r="48"/>
    <row r="49"/>
    <row r="50"/>
    <row r="51"/>
    <row r="52"/>
    <row r="53"/>
    <row r="54"/>
    <row r="55"/>
    <row r="56"/>
    <row r="57"/>
    <row r="58"/>
    <row r="59"/>
  </sheetData>
  <mergeCells count="2">
    <mergeCell ref="A3:G3"/>
    <mergeCell ref="A2:G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2026-07-28T07:08:55Z</dcterms:created>
  <dcterms:modified xmlns:dcterms="http://purl.org/dc/terms/" xmlns:xsi="http://www.w3.org/2001/XMLSchema-instance" xsi:type="dcterms:W3CDTF">2026-07-28T07:11:59Z</dcterms:modified>
</cp:coreProperties>
</file>