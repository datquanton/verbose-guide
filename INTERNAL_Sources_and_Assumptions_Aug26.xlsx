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s &amp; Assumptions" sheetId="1" state="visible" r:id="rId1"/>
    <sheet xmlns:r="http://schemas.openxmlformats.org/officeDocument/2006/relationships" name="VPB HotStock" sheetId="2" state="visible" r:id="rId2"/>
    <sheet xmlns:r="http://schemas.openxmlformats.org/officeDocument/2006/relationships" name="STB FPT 31Jul" sheetId="3" state="visible" r:id="rId3"/>
    <sheet xmlns:r="http://schemas.openxmlformats.org/officeDocument/2006/relationships" name="FPT Triangul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C00000"/>
      <sz val="11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pivotButton="0" quotePrefix="0" xfId="0"/>
    <xf numFmtId="0" fontId="4" fillId="2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3" borderId="0" pivotButton="0" quotePrefix="0" xfId="0"/>
    <xf numFmtId="0" fontId="4" fillId="3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8" customWidth="1" min="4" max="4"/>
    <col width="15" customWidth="1" min="5" max="5"/>
    <col width="52" customWidth="1" min="6" max="6"/>
    <col width="64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for the Aug-26 Stock Pick file (VRE, FPT). Keep this file internal; the client-facing workbook carries no provenance tab.</t>
        </is>
      </c>
    </row>
    <row r="3" ht="30" customHeight="1">
      <c r="A3" s="2" t="inlineStr">
        <is>
          <t>RULE: no figure enters a client-facing cell without a source tag below. MODEL = a cell in our own model · COMPANY = disclosure/plan/AGM · PRESS = media (outlet + date) · MAS = our estimate, which must show its build · UNVERIFIED = single unconfirmed source (red). Conflicts are listed, not silently resolved.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 ht="18" customHeight="1">
      <c r="A6" s="4" t="inlineStr"/>
      <c r="B6" s="5" t="inlineStr">
        <is>
          <t>VRE — FY25 REPORTED</t>
        </is>
      </c>
      <c r="C6" s="4" t="inlineStr"/>
      <c r="D6" s="4" t="inlineStr"/>
      <c r="E6" s="4" t="inlineStr"/>
      <c r="F6" s="4" t="inlineStr"/>
      <c r="G6" s="4" t="inlineStr"/>
    </row>
    <row r="7" ht="32" customHeight="1">
      <c r="A7" s="6" t="inlineStr">
        <is>
          <t>1</t>
        </is>
      </c>
      <c r="B7" s="6" t="inlineStr">
        <is>
          <t>Net revenue FY25</t>
        </is>
      </c>
      <c r="C7" s="6" t="inlineStr">
        <is>
          <t>8,712</t>
        </is>
      </c>
      <c r="D7" s="6" t="inlineStr">
        <is>
          <t>VNDbn</t>
        </is>
      </c>
      <c r="E7" s="6" t="inlineStr">
        <is>
          <t>PRESS + COMPANY</t>
        </is>
      </c>
      <c r="F7" s="7" t="inlineStr">
        <is>
          <t>FY25 results coverage; cross-checks to the FY26 plan (10,132 stated +16% YoY -&gt; implies 8,734)</t>
        </is>
      </c>
      <c r="G7" s="7" t="inlineStr">
        <is>
          <t>RECONCILED. NOT an adjusted figure — FY25 one-offs sat in financial income, below the revenue line. Model Summary!K157 shows 9,074 but that column is a 2025F forecast, not an actual.</t>
        </is>
      </c>
    </row>
    <row r="8" ht="32" customHeight="1">
      <c r="A8" s="6" t="inlineStr">
        <is>
          <t>2</t>
        </is>
      </c>
      <c r="B8" s="6" t="inlineStr">
        <is>
          <t>Leasing revenue FY25</t>
        </is>
      </c>
      <c r="C8" s="6" t="inlineStr">
        <is>
          <t>8,400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FY25 results coverage, +8.3% YoY</t>
        </is>
      </c>
      <c r="G8" s="7" t="inlineStr">
        <is>
          <t>Single source; consistent with model leasing 2025F of 8,311.</t>
        </is>
      </c>
    </row>
    <row r="9" ht="32" customHeight="1">
      <c r="A9" s="6" t="inlineStr">
        <is>
          <t>3</t>
        </is>
      </c>
      <c r="B9" s="6" t="inlineStr">
        <is>
          <t>NPAT FY25 (reported)</t>
        </is>
      </c>
      <c r="C9" s="6" t="inlineStr">
        <is>
          <t>6,446</t>
        </is>
      </c>
      <c r="D9" s="6" t="inlineStr">
        <is>
          <t>VNDbn</t>
        </is>
      </c>
      <c r="E9" s="6" t="inlineStr">
        <is>
          <t>COMPANY</t>
        </is>
      </c>
      <c r="F9" s="7" t="inlineStr">
        <is>
          <t>FY25 results announcement, +57.3% YoY</t>
        </is>
      </c>
      <c r="G9" s="7" t="inlineStr">
        <is>
          <t>Confirmed by multiple outlets.</t>
        </is>
      </c>
    </row>
    <row r="10" ht="32" customHeight="1">
      <c r="A10" s="6" t="inlineStr">
        <is>
          <t>4</t>
        </is>
      </c>
      <c r="B10" s="6" t="inlineStr">
        <is>
          <t>NPAT FY25 (adjusted)</t>
        </is>
      </c>
      <c r="C10" s="6" t="inlineStr">
        <is>
          <t>4,694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Ex one-off financial income (Vincom Center Nguyen Chi Thanh stake transfer), +16.3% YoY</t>
        </is>
      </c>
      <c r="G10" s="7" t="inlineStr">
        <is>
          <t>"Adjusted" applies to PROFIT ONLY.</t>
        </is>
      </c>
    </row>
    <row r="11" ht="32" customHeight="1">
      <c r="A11" s="6" t="inlineStr">
        <is>
          <t>5</t>
        </is>
      </c>
      <c r="B11" s="6" t="inlineStr">
        <is>
          <t>NPAT FY25 (model base)</t>
        </is>
      </c>
      <c r="C11" s="6" t="inlineStr">
        <is>
          <t>6,367</t>
        </is>
      </c>
      <c r="D11" s="6" t="inlineStr">
        <is>
          <t>VNDbn</t>
        </is>
      </c>
      <c r="E11" s="6" t="inlineStr">
        <is>
          <t>MODEL</t>
        </is>
      </c>
      <c r="F11" s="7" t="inlineStr">
        <is>
          <t>VRE_1Q26_v2_linked2.xlsx Summary!K158</t>
        </is>
      </c>
      <c r="G11" s="7" t="inlineStr">
        <is>
          <t>Col-H growth denominator, for cross-ticker consistency; differs from the 6,446 reported.</t>
        </is>
      </c>
    </row>
    <row r="12" ht="18" customHeight="1">
      <c r="A12" s="4" t="inlineStr"/>
      <c r="B12" s="5" t="inlineStr">
        <is>
          <t>VRE — 1Q26 REPORTED</t>
        </is>
      </c>
      <c r="C12" s="4" t="inlineStr"/>
      <c r="D12" s="4" t="inlineStr"/>
      <c r="E12" s="4" t="inlineStr"/>
      <c r="F12" s="4" t="inlineStr"/>
      <c r="G12" s="4" t="inlineStr"/>
    </row>
    <row r="13" ht="32" customHeight="1">
      <c r="A13" s="6" t="inlineStr">
        <is>
          <t>6</t>
        </is>
      </c>
      <c r="B13" s="6" t="inlineStr">
        <is>
          <t>Net revenue 1Q26</t>
        </is>
      </c>
      <c r="C13" s="6" t="inlineStr">
        <is>
          <t>2,574</t>
        </is>
      </c>
      <c r="D13" s="6" t="inlineStr">
        <is>
          <t>VNDbn</t>
        </is>
      </c>
      <c r="E13" s="6" t="inlineStr">
        <is>
          <t>PRESS</t>
        </is>
      </c>
      <c r="F13" s="7" t="inlineStr">
        <is>
          <t>1Q26 results coverage, +20.7% YoY</t>
        </is>
      </c>
      <c r="G13" s="7" t="inlineStr">
        <is>
          <t>Reported. An earlier draft wrongly labelled this "adjusted" — no source described it that way. Corrected.</t>
        </is>
      </c>
    </row>
    <row r="14" ht="32" customHeight="1">
      <c r="A14" s="6" t="inlineStr">
        <is>
          <t>7</t>
        </is>
      </c>
      <c r="B14" s="6" t="inlineStr">
        <is>
          <t>NPAT 1Q26</t>
        </is>
      </c>
      <c r="C14" s="6" t="inlineStr">
        <is>
          <t>1,606</t>
        </is>
      </c>
      <c r="D14" s="6" t="inlineStr">
        <is>
          <t>VNDbn</t>
        </is>
      </c>
      <c r="E14" s="6" t="inlineStr">
        <is>
          <t>PRESS</t>
        </is>
      </c>
      <c r="F14" s="7" t="inlineStr">
        <is>
          <t>1Q26 results coverage, +36.4% YoY</t>
        </is>
      </c>
      <c r="G14" s="7" t="inlineStr">
        <is>
          <t>Confirmed by multiple outlets.</t>
        </is>
      </c>
    </row>
    <row r="15" ht="18" customHeight="1">
      <c r="A15" s="4" t="inlineStr"/>
      <c r="B15" s="5" t="inlineStr">
        <is>
          <t>VRE — FY26F</t>
        </is>
      </c>
      <c r="C15" s="4" t="inlineStr"/>
      <c r="D15" s="4" t="inlineStr"/>
      <c r="E15" s="4" t="inlineStr"/>
      <c r="F15" s="4" t="inlineStr"/>
      <c r="G15" s="4" t="inlineStr"/>
    </row>
    <row r="16" ht="32" customHeight="1">
      <c r="A16" s="6" t="inlineStr">
        <is>
          <t>8</t>
        </is>
      </c>
      <c r="B16" s="6" t="inlineStr">
        <is>
          <t>FY26 revenue plan</t>
        </is>
      </c>
      <c r="C16" s="6" t="inlineStr">
        <is>
          <t>10,132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2026 AGM, 23-Apr-2026</t>
        </is>
      </c>
      <c r="G16" s="7" t="inlineStr">
        <is>
          <t>Board-approved.</t>
        </is>
      </c>
    </row>
    <row r="17" ht="32" customHeight="1">
      <c r="A17" s="6" t="inlineStr">
        <is>
          <t>9</t>
        </is>
      </c>
      <c r="B17" s="6" t="inlineStr">
        <is>
          <t>FY26 NPAT plan</t>
        </is>
      </c>
      <c r="C17" s="6" t="inlineStr">
        <is>
          <t>5,375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2026 AGM, 23-Apr-2026</t>
        </is>
      </c>
      <c r="G17" s="7" t="inlineStr">
        <is>
          <t>Board-approved.</t>
        </is>
      </c>
    </row>
    <row r="18" ht="32" customHeight="1">
      <c r="A18" s="6" t="inlineStr">
        <is>
          <t>10</t>
        </is>
      </c>
      <c r="B18" s="6" t="inlineStr">
        <is>
          <t>MAS FY26F net revenue</t>
        </is>
      </c>
      <c r="C18" s="6" t="inlineStr">
        <is>
          <t>10,639</t>
        </is>
      </c>
      <c r="D18" s="6" t="inlineStr">
        <is>
          <t>VNDbn</t>
        </is>
      </c>
      <c r="E18" s="6" t="inlineStr">
        <is>
          <t>MAS</t>
        </is>
      </c>
      <c r="F18" s="7" t="inlineStr">
        <is>
          <t>plan x 1.05, per analyst instruction</t>
        </is>
      </c>
      <c r="G18" s="7" t="inlineStr">
        <is>
          <t>—</t>
        </is>
      </c>
    </row>
    <row r="19" ht="32" customHeight="1">
      <c r="A19" s="6" t="inlineStr">
        <is>
          <t>11</t>
        </is>
      </c>
      <c r="B19" s="6" t="inlineStr">
        <is>
          <t>MAS FY26F NPATMI</t>
        </is>
      </c>
      <c r="C19" s="6" t="inlineStr">
        <is>
          <t>5,483</t>
        </is>
      </c>
      <c r="D19" s="6" t="inlineStr">
        <is>
          <t>VNDbn</t>
        </is>
      </c>
      <c r="E19" s="6" t="inlineStr">
        <is>
          <t>MAS</t>
        </is>
      </c>
      <c r="F19" s="7" t="inlineStr">
        <is>
          <t>plan x 1.02, per analyst instruction</t>
        </is>
      </c>
      <c r="G19" s="7" t="inlineStr">
        <is>
          <t>Implies a 51.5% net margin vs ~53.0% in plan.</t>
        </is>
      </c>
    </row>
    <row r="20" ht="18" customHeight="1">
      <c r="A20" s="4" t="inlineStr"/>
      <c r="B20" s="5" t="inlineStr">
        <is>
          <t>VRE — FY27F BUILD (adopted)</t>
        </is>
      </c>
      <c r="C20" s="4" t="inlineStr"/>
      <c r="D20" s="4" t="inlineStr"/>
      <c r="E20" s="4" t="inlineStr"/>
      <c r="F20" s="4" t="inlineStr"/>
      <c r="G20" s="4" t="inlineStr"/>
    </row>
    <row r="21" ht="32" customHeight="1">
      <c r="A21" s="6" t="inlineStr">
        <is>
          <t>12</t>
        </is>
      </c>
      <c r="B21" s="6" t="inlineStr">
        <is>
          <t>FY26F NPATMI base</t>
        </is>
      </c>
      <c r="C21" s="6" t="inlineStr">
        <is>
          <t>5,483</t>
        </is>
      </c>
      <c r="D21" s="6" t="inlineStr">
        <is>
          <t>VNDbn</t>
        </is>
      </c>
      <c r="E21" s="6" t="inlineStr">
        <is>
          <t>MAS</t>
        </is>
      </c>
      <c r="F21" s="7" t="inlineStr">
        <is>
          <t>row 11</t>
        </is>
      </c>
      <c r="G21" s="7" t="inlineStr">
        <is>
          <t>—</t>
        </is>
      </c>
    </row>
    <row r="22" ht="32" customHeight="1">
      <c r="A22" s="6" t="inlineStr">
        <is>
          <t>13</t>
        </is>
      </c>
      <c r="B22" s="6" t="inlineStr">
        <is>
          <t>+ organic leasing growth</t>
        </is>
      </c>
      <c r="C22" s="6" t="inlineStr">
        <is>
          <t>439</t>
        </is>
      </c>
      <c r="D22" s="6" t="inlineStr">
        <is>
          <t>VNDbn</t>
        </is>
      </c>
      <c r="E22" s="6" t="inlineStr">
        <is>
          <t>MAS</t>
        </is>
      </c>
      <c r="F22" s="7" t="inlineStr">
        <is>
          <t>+8.0% on base: 2026 GFA additions annualise; occupancy 88.1% (end-2025) recovering</t>
        </is>
      </c>
      <c r="G22" s="7" t="inlineStr">
        <is>
          <t>Model GFA +5.2%; +8% profit growth assumes modest operating leverage.</t>
        </is>
      </c>
    </row>
    <row r="23" ht="32" customHeight="1">
      <c r="A23" s="8" t="inlineStr">
        <is>
          <t>14</t>
        </is>
      </c>
      <c r="B23" s="8" t="inlineStr">
        <is>
          <t>+ shophouse handover</t>
        </is>
      </c>
      <c r="C23" s="8" t="inlineStr">
        <is>
          <t>383</t>
        </is>
      </c>
      <c r="D23" s="8" t="inlineStr">
        <is>
          <t>VNDbn</t>
        </is>
      </c>
      <c r="E23" s="8" t="inlineStr">
        <is>
          <t>MAS</t>
        </is>
      </c>
      <c r="F23" s="9" t="inlineStr">
        <is>
          <t>~30% of the VND1,575bn guided first-year gross profit, taxed at 20%</t>
        </is>
      </c>
      <c r="G23" s="9" t="inlineStr">
        <is>
          <t>DELIBERATELY HAIRCUT — see conflicts below.</t>
        </is>
      </c>
    </row>
    <row r="24" ht="32" customHeight="1">
      <c r="A24" s="10" t="inlineStr">
        <is>
          <t>15</t>
        </is>
      </c>
      <c r="B24" s="10">
        <f> FY27F NPATMI</f>
        <v/>
      </c>
      <c r="C24" s="10" t="inlineStr">
        <is>
          <t>6,305</t>
        </is>
      </c>
      <c r="D24" s="10" t="inlineStr">
        <is>
          <t>VNDbn</t>
        </is>
      </c>
      <c r="E24" s="10" t="inlineStr">
        <is>
          <t>MAS</t>
        </is>
      </c>
      <c r="F24" s="11" t="inlineStr">
        <is>
          <t>rows 12+13+14</t>
        </is>
      </c>
      <c r="G24" s="11" t="inlineStr">
        <is>
          <t>+15.0% YoY.</t>
        </is>
      </c>
    </row>
    <row r="25" ht="18" customHeight="1">
      <c r="A25" s="4" t="inlineStr"/>
      <c r="B25" s="5" t="inlineStr">
        <is>
          <t>FY27F SCENARIOS</t>
        </is>
      </c>
      <c r="C25" s="4" t="inlineStr"/>
      <c r="D25" s="4" t="inlineStr"/>
      <c r="E25" s="4" t="inlineStr"/>
      <c r="F25" s="4" t="inlineStr"/>
      <c r="G25" s="4" t="inlineStr"/>
    </row>
    <row r="26" ht="32" customHeight="1">
      <c r="A26" s="6" t="inlineStr">
        <is>
          <t>16</t>
        </is>
      </c>
      <c r="B26" s="6" t="inlineStr">
        <is>
          <t>Low — leasing only</t>
        </is>
      </c>
      <c r="C26" s="6" t="inlineStr">
        <is>
          <t>5,922</t>
        </is>
      </c>
      <c r="D26" s="6" t="inlineStr">
        <is>
          <t>VNDbn</t>
        </is>
      </c>
      <c r="E26" s="6" t="inlineStr">
        <is>
          <t>MAS</t>
        </is>
      </c>
      <c r="F26" s="7" t="inlineStr">
        <is>
          <t>5,483 x 1.08</t>
        </is>
      </c>
      <c r="G26" s="7" t="inlineStr">
        <is>
          <t>+8.0%. Credits nothing to shophouses.</t>
        </is>
      </c>
    </row>
    <row r="27" ht="32" customHeight="1">
      <c r="A27" s="10" t="inlineStr">
        <is>
          <t>17</t>
        </is>
      </c>
      <c r="B27" s="10" t="inlineStr">
        <is>
          <t>Base — adopted</t>
        </is>
      </c>
      <c r="C27" s="10" t="inlineStr">
        <is>
          <t>6,305</t>
        </is>
      </c>
      <c r="D27" s="10" t="inlineStr">
        <is>
          <t>VNDbn</t>
        </is>
      </c>
      <c r="E27" s="10" t="inlineStr">
        <is>
          <t>MAS</t>
        </is>
      </c>
      <c r="F27" s="11" t="inlineStr">
        <is>
          <t>row 15</t>
        </is>
      </c>
      <c r="G27" s="11" t="inlineStr">
        <is>
          <t>+15.0%. ~30% of guided shophouse GP.</t>
        </is>
      </c>
    </row>
    <row r="28" ht="32" customHeight="1">
      <c r="A28" s="6" t="inlineStr">
        <is>
          <t>18</t>
        </is>
      </c>
      <c r="B28" s="6" t="inlineStr">
        <is>
          <t>High — full handover</t>
        </is>
      </c>
      <c r="C28" s="6" t="inlineStr">
        <is>
          <t>6,580</t>
        </is>
      </c>
      <c r="D28" s="6" t="inlineStr">
        <is>
          <t>VNDbn</t>
        </is>
      </c>
      <c r="E28" s="6" t="inlineStr">
        <is>
          <t>MAS</t>
        </is>
      </c>
      <c r="F28" s="7" t="inlineStr">
        <is>
          <t>5,483 x 1.20</t>
        </is>
      </c>
      <c r="G28" s="7" t="inlineStr">
        <is>
          <t>+20.0%. a competing broker forecasts 6,502 (+19.2%) on a similar view.</t>
        </is>
      </c>
    </row>
    <row r="29" ht="18" customHeight="1">
      <c r="A29" s="4" t="inlineStr"/>
      <c r="B29" s="5" t="inlineStr">
        <is>
          <t>SHOPHOUSE PIPELINE — underlying facts</t>
        </is>
      </c>
      <c r="C29" s="4" t="inlineStr"/>
      <c r="D29" s="4" t="inlineStr"/>
      <c r="E29" s="4" t="inlineStr"/>
      <c r="F29" s="4" t="inlineStr"/>
      <c r="G29" s="4" t="inlineStr"/>
    </row>
    <row r="30" ht="32" customHeight="1">
      <c r="A30" s="6" t="inlineStr">
        <is>
          <t>19</t>
        </is>
      </c>
      <c r="B30" s="6" t="inlineStr">
        <is>
          <t>Deposit — for LAND, not built units</t>
        </is>
      </c>
      <c r="C30" s="6" t="inlineStr">
        <is>
          <t>5,480</t>
        </is>
      </c>
      <c r="D30" s="6" t="inlineStr">
        <is>
          <t>VNDbn</t>
        </is>
      </c>
      <c r="E30" s="6" t="inlineStr">
        <is>
          <t>PRESS</t>
        </is>
      </c>
      <c r="F30" s="7" t="inlineStr">
        <is>
          <t>MarketTimes / Nguoi Quan Sat, Feb-2025: VND5,480bn deposited end-2024 with Vinhomes/Vingroup for COMMERCIAL LAND PLOTS, 109,800 sqm net floor = ~1,200 shophouses</t>
        </is>
      </c>
      <c r="G30" s="7" t="inlineStr">
        <is>
          <t>CORRECTED. A draft claimed VRE resells "finished stock" so handover follows sale within months — WRONG. The deposit bought land; VRE develops. Revenue books on handover, so a 2027 contribution requires construction complete by then, which is not evidenced. Marketing-site claims that Royal Island construction completes in 2026 are NOT an acceptable source. Leasing-only FY27F would be 5,922 (+8.0%).</t>
        </is>
      </c>
    </row>
    <row r="31" ht="32" customHeight="1">
      <c r="A31" s="6" t="inlineStr">
        <is>
          <t>20</t>
        </is>
      </c>
      <c r="B31" s="6" t="inlineStr">
        <is>
          <t>Guided gross margin</t>
        </is>
      </c>
      <c r="C31" s="6" t="inlineStr">
        <is>
          <t>45</t>
        </is>
      </c>
      <c r="D31" s="6" t="inlineStr">
        <is>
          <t>%</t>
        </is>
      </c>
      <c r="E31" s="6" t="inlineStr">
        <is>
          <t>PRESS</t>
        </is>
      </c>
      <c r="F31" s="7" t="inlineStr">
        <is>
          <t>Broker/press coverage</t>
        </is>
      </c>
      <c r="G31" s="7" t="inlineStr">
        <is>
          <t>Single-source estimate.</t>
        </is>
      </c>
    </row>
    <row r="32" ht="32" customHeight="1">
      <c r="A32" s="6" t="inlineStr">
        <is>
          <t>21</t>
        </is>
      </c>
      <c r="B32" s="6" t="inlineStr">
        <is>
          <t>Guided gross profit, 1st handover yr</t>
        </is>
      </c>
      <c r="C32" s="6" t="inlineStr">
        <is>
          <t>1,575</t>
        </is>
      </c>
      <c r="D32" s="6" t="inlineStr">
        <is>
          <t>VNDbn</t>
        </is>
      </c>
      <c r="E32" s="6" t="inlineStr">
        <is>
          <t>PRESS</t>
        </is>
      </c>
      <c r="F32" s="7" t="inlineStr">
        <is>
          <t>CafeF, 10-Oct-2025</t>
        </is>
      </c>
      <c r="G32" s="12" t="inlineStr">
        <is>
          <t>UNVERIFIED against company disclosure — indicative only. This is the number our row-14 haircut is applied to.</t>
        </is>
      </c>
    </row>
    <row r="33" ht="32" customHeight="1">
      <c r="A33" s="6" t="inlineStr">
        <is>
          <t>22</t>
        </is>
      </c>
      <c r="B33" s="6" t="inlineStr">
        <is>
          <t>Vincom Collection share of FY26 rev</t>
        </is>
      </c>
      <c r="C33" s="6" t="inlineStr">
        <is>
          <t>1.5-2</t>
        </is>
      </c>
      <c r="D33" s="6" t="inlineStr">
        <is>
          <t>%</t>
        </is>
      </c>
      <c r="E33" s="6" t="inlineStr">
        <is>
          <t>COMPANY</t>
        </is>
      </c>
      <c r="F33" s="7" t="inlineStr">
        <is>
          <t>2026 AGM, 23-Apr-2026</t>
        </is>
      </c>
      <c r="G33" s="7" t="inlineStr">
        <is>
          <t>Vincom Collection = operating/managing shophouse streets (rental and management income, contributes from 2026). This is a DIFFERENT line from shophouse unit sales, whose profit depends on handover. An earlier draft used the former as evidence for the latter.</t>
        </is>
      </c>
    </row>
    <row r="34" ht="18" customHeight="1">
      <c r="A34" s="4" t="inlineStr"/>
      <c r="B34" s="5" t="inlineStr">
        <is>
          <t>KNOWN CONFLICTS &amp; OPEN ITEMS</t>
        </is>
      </c>
      <c r="C34" s="4" t="inlineStr"/>
      <c r="D34" s="4" t="inlineStr"/>
      <c r="E34" s="4" t="inlineStr"/>
      <c r="F34" s="4" t="inlineStr"/>
      <c r="G34" s="4" t="inlineStr"/>
    </row>
    <row r="35" ht="32" customHeight="1">
      <c r="A35" s="6" t="inlineStr">
        <is>
          <t>C1</t>
        </is>
      </c>
      <c r="B35" s="6" t="inlineStr">
        <is>
          <t>Shophouse timing has slipped TWICE</t>
        </is>
      </c>
      <c r="C35" s="6" t="inlineStr"/>
      <c r="D35" s="6" t="inlineStr"/>
      <c r="E35" s="6" t="inlineStr"/>
      <c r="F35" s="7" t="inlineStr">
        <is>
          <t>Feb-2025 press: sales 2025, handover 2026. Oct-2025 press: profit step-up in FY26. Apr-2026 AGM: sales open from 2027 (Vu Yen/Royal Island, Mong Cai) and 2028 (Can Gio)</t>
        </is>
      </c>
      <c r="G35" s="12" t="inlineStr">
        <is>
          <t>CORRECTED. An earlier draft said "management expects to contribute from 2027" — that was a journalist's passive phrasing, not a management statement, and it conflated SALES LAUNCH with REVENUE RECOGNITION. Booking case is NOT established: VRE bought land and develops, so 2027 revenue depends on construction completing alongside the sales launch. Risk: sales opening late in 2027 pushes recognition to 2028.</t>
        </is>
      </c>
    </row>
    <row r="36" ht="32" customHeight="1">
      <c r="A36" s="6" t="inlineStr">
        <is>
          <t>C2</t>
        </is>
      </c>
      <c r="B36" s="6" t="inlineStr">
        <is>
          <t>Historic volatility of the property line</t>
        </is>
      </c>
      <c r="C36" s="6" t="inlineStr">
        <is>
          <t>381-3,433</t>
        </is>
      </c>
      <c r="D36" s="6" t="inlineStr">
        <is>
          <t>VNDbn</t>
        </is>
      </c>
      <c r="E36" s="6" t="inlineStr">
        <is>
          <t>MODEL</t>
        </is>
      </c>
      <c r="F36" s="7" t="inlineStr">
        <is>
          <t>VRE model IS!r78 "Sale of investment properties", FY18-FY24 range</t>
        </is>
      </c>
      <c r="G36" s="12" t="inlineStr">
        <is>
          <t>Handover timing is the largest single swing factor in FY27.</t>
        </is>
      </c>
    </row>
    <row r="37" ht="32" customHeight="1">
      <c r="A37" s="6" t="inlineStr">
        <is>
          <t>C3</t>
        </is>
      </c>
      <c r="B37" s="6" t="inlineStr">
        <is>
          <t>BVPS / P-B basis — RESTATED</t>
        </is>
      </c>
      <c r="C37" s="6" t="inlineStr">
        <is>
          <t>21,563 / 23,283</t>
        </is>
      </c>
      <c r="D37" s="6" t="inlineStr">
        <is>
          <t>VND</t>
        </is>
      </c>
      <c r="E37" s="6" t="inlineStr">
        <is>
          <t>MAS</t>
        </is>
      </c>
      <c r="F37" s="7" t="inlineStr">
        <is>
          <t>Rebuilt from FY25 BVPS 20,196 (VRE model BS!K136) + our NPATMI less the ~VND2.3tn cash dividend</t>
        </is>
      </c>
      <c r="G37" s="12" t="inlineStr">
        <is>
          <t>Model BS!L136/M136 (22,798/25,513) NOT used: it embeds FY26/27 NI of 5,913/6,170 rather than our 5,483/6,305, its equity roll-forward returns #DIV/0! in the forecast columns (Equity!L16/M16), and it assumes ZERO dividends despite the first cash payout in 7 years (~VND2.3tn, Jul-2026). Restating lifts P/B from 1.23x/1.10x to 1.30x/1.20x. FY27 assumes the dividend repeats; if not, BVPS27 = 24,270 and P/B27 = 1.15x.</t>
        </is>
      </c>
    </row>
    <row r="38" ht="32" customHeight="1">
      <c r="A38" s="6" t="inlineStr">
        <is>
          <t>C4</t>
        </is>
      </c>
      <c r="B38" s="6" t="inlineStr">
        <is>
          <t>FY28F</t>
        </is>
      </c>
      <c r="C38" s="6" t="inlineStr">
        <is>
          <t>n/a</t>
        </is>
      </c>
      <c r="D38" s="6" t="inlineStr"/>
      <c r="E38" s="6" t="inlineStr">
        <is>
          <t>—</t>
        </is>
      </c>
      <c r="F38" s="7" t="inlineStr">
        <is>
          <t>VRE model and Stock Pick tab both stop at FY27F</t>
        </is>
      </c>
      <c r="G38" s="7" t="inlineStr">
        <is>
          <t>No FY28 figure exists; none has been estimated.</t>
        </is>
      </c>
    </row>
    <row r="39" ht="32" customHeight="1">
      <c r="A39" s="6" t="inlineStr">
        <is>
          <t>C5</t>
        </is>
      </c>
      <c r="B39" s="6" t="inlineStr">
        <is>
          <t>A property-led FY27 creates a high FY28 base</t>
        </is>
      </c>
      <c r="C39" s="6" t="inlineStr"/>
      <c r="D39" s="6" t="inlineStr"/>
      <c r="E39" s="6" t="inlineStr">
        <is>
          <t>—</t>
        </is>
      </c>
      <c r="F39" s="7" t="inlineStr">
        <is>
          <t>Analytical note</t>
        </is>
      </c>
      <c r="G39" s="7" t="inlineStr">
        <is>
          <t>Same distortion the FY25 one-offs created for FY26 optics.</t>
        </is>
      </c>
    </row>
    <row r="40" ht="18" customHeight="1">
      <c r="A40" s="4" t="inlineStr"/>
      <c r="B40" s="5" t="inlineStr">
        <is>
          <t>FPT — key overrides</t>
        </is>
      </c>
      <c r="C40" s="4" t="inlineStr"/>
      <c r="D40" s="4" t="inlineStr"/>
      <c r="E40" s="4" t="inlineStr"/>
      <c r="F40" s="4" t="inlineStr"/>
      <c r="G40" s="4" t="inlineStr"/>
    </row>
    <row r="41" ht="32" customHeight="1">
      <c r="A41" s="6" t="inlineStr">
        <is>
          <t>F1</t>
        </is>
      </c>
      <c r="B41" s="6" t="inlineStr">
        <is>
          <t>FY26F/27F/28F NPATMI</t>
        </is>
      </c>
      <c r="C41" s="6" t="inlineStr">
        <is>
          <t>10,943 / 12,518 / 14,156</t>
        </is>
      </c>
      <c r="D41" s="6" t="inlineStr">
        <is>
          <t>VNDbn</t>
        </is>
      </c>
      <c r="E41" s="6" t="inlineStr">
        <is>
          <t>MAS</t>
        </is>
      </c>
      <c r="F41" s="7" t="inlineStr">
        <is>
          <t>Model recalibration; Domestic IT +14.0%, Telecom associates +15% p.a.</t>
        </is>
      </c>
      <c r="G41" s="7" t="inlineStr">
        <is>
          <t>Headcount held at 45,000 per instruction, so FY26F lands at +15.6% not +15.0%.</t>
        </is>
      </c>
    </row>
    <row r="42" ht="32" customHeight="1">
      <c r="A42" s="6" t="inlineStr">
        <is>
          <t>F2</t>
        </is>
      </c>
      <c r="B42" s="6" t="inlineStr">
        <is>
          <t>Target price</t>
        </is>
      </c>
      <c r="C42" s="6" t="inlineStr">
        <is>
          <t>78,750</t>
        </is>
      </c>
      <c r="D42" s="6" t="inlineStr">
        <is>
          <t>VND</t>
        </is>
      </c>
      <c r="E42" s="6" t="inlineStr">
        <is>
          <t>MAS</t>
        </is>
      </c>
      <c r="F42" s="7" t="inlineStr">
        <is>
          <t>Set top-down at +25% on the ~63,000 price (senior-manager instruction)</t>
        </is>
      </c>
      <c r="G42" s="12" t="inlineStr">
        <is>
          <t>Valuation sheet aligned via ERP 8.97% and terminal g 1.5% — an override, not a bottom-up DCF output.</t>
        </is>
      </c>
    </row>
    <row r="43" ht="32" customHeight="1">
      <c r="A43" s="6" t="inlineStr">
        <is>
          <t>F3</t>
        </is>
      </c>
      <c r="B43" s="6" t="inlineStr">
        <is>
          <t>1H26 actuals</t>
        </is>
      </c>
      <c r="C43" s="6" t="inlineStr">
        <is>
          <t>26,269 rev / 5,714 PBT</t>
        </is>
      </c>
      <c r="D43" s="6" t="inlineStr">
        <is>
          <t>VNDbn</t>
        </is>
      </c>
      <c r="E43" s="6" t="inlineStr">
        <is>
          <t>COMPANY</t>
        </is>
      </c>
      <c r="F43" s="7" t="inlineStr">
        <is>
          <t>FPT 1H26 release, 16-Jul-2026</t>
        </is>
      </c>
      <c r="G43" s="7" t="inlineStr">
        <is>
          <t>+12.6% / +18.1% YoY.</t>
        </is>
      </c>
    </row>
    <row r="44" ht="32" customHeight="1">
      <c r="A44" s="6" t="inlineStr">
        <is>
          <t>F4</t>
        </is>
      </c>
      <c r="B44" s="6" t="inlineStr">
        <is>
          <t>2Q26 NPATMI +14% YoY</t>
        </is>
      </c>
      <c r="C44" s="6" t="inlineStr">
        <is>
          <t>2,568</t>
        </is>
      </c>
      <c r="D44" s="6" t="inlineStr">
        <is>
          <t>VNDbn</t>
        </is>
      </c>
      <c r="E44" s="6" t="inlineStr">
        <is>
          <t>PRESS</t>
        </is>
      </c>
      <c r="F44" s="7" t="inlineStr">
        <is>
          <t>CafeF, 16-Jul-2026</t>
        </is>
      </c>
      <c r="G44" s="12" t="inlineStr">
        <is>
          <t>Note: the +14% belongs to NPATMI, NOT PBT — corrected after an earlier draft misattributed it.</t>
        </is>
      </c>
    </row>
  </sheetData>
  <mergeCells count="2">
    <mergeCell ref="A3:G3"/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20" customWidth="1" min="3" max="3"/>
    <col width="8" customWidth="1" min="4" max="4"/>
    <col width="18" customWidth="1" min="5" max="5"/>
    <col width="56" customWidth="1" min="6" max="6"/>
    <col width="68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— VPB HotStock, broadcast 31/07/2026 (Đạt Quân)</t>
        </is>
      </c>
    </row>
    <row r="3">
      <c r="A3" s="2" t="inlineStr">
        <is>
          <t>RULE: no figure enters the deck or the script without a source. DERIVED = arithmetic on sourced figures, shown in full.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>
      <c r="B6" s="5" t="inlineStr">
        <is>
          <t>VPB — 1H26 REPORTED</t>
        </is>
      </c>
    </row>
    <row r="7">
      <c r="A7" s="6" t="n">
        <v>1</v>
      </c>
      <c r="B7" s="6" t="inlineStr">
        <is>
          <t>PBT 1H26 (consolidated)</t>
        </is>
      </c>
      <c r="C7" s="6" t="inlineStr">
        <is>
          <t>18,880</t>
        </is>
      </c>
      <c r="D7" s="6" t="inlineStr">
        <is>
          <t>VNDbn</t>
        </is>
      </c>
      <c r="E7" s="6" t="inlineStr">
        <is>
          <t>COMPANY + PRESS</t>
        </is>
      </c>
      <c r="F7" s="7" t="inlineStr">
        <is>
          <t>VPBank 1H26 release, 17/07/2026: "gần 18,900 tỷ, +68% CK, ~46% kế hoạch năm"</t>
        </is>
      </c>
      <c r="G7" s="7" t="inlineStr">
        <is>
          <t>Exact 18,880 = 1Q26 7,921 + 2Q26 10,959. The "+49%" figure seen earlier in the screen was a different scope and is dropped.</t>
        </is>
      </c>
    </row>
    <row r="8">
      <c r="A8" s="6" t="n">
        <v>2</v>
      </c>
      <c r="B8" s="6" t="inlineStr">
        <is>
          <t>PBT 2Q26</t>
        </is>
      </c>
      <c r="C8" s="6" t="inlineStr">
        <is>
          <t>10,959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Coverage of the 2Q26 consolidated FS: +76% YoY, highest in 4 years</t>
        </is>
      </c>
      <c r="G8" s="7" t="inlineStr">
        <is>
          <t>Cross-check: 18,880 − 7,921 = 10,959. Consistent.</t>
        </is>
      </c>
    </row>
    <row r="9">
      <c r="A9" s="6" t="n">
        <v>3</v>
      </c>
      <c r="B9" s="6" t="inlineStr">
        <is>
          <t>PBT 1Q26</t>
        </is>
      </c>
      <c r="C9" s="6" t="inlineStr">
        <is>
          <t>7,921</t>
        </is>
      </c>
      <c r="D9" s="6" t="inlineStr">
        <is>
          <t>VNDbn</t>
        </is>
      </c>
      <c r="E9" s="6" t="inlineStr">
        <is>
          <t>COMPANY + PRESS</t>
        </is>
      </c>
      <c r="F9" s="7" t="inlineStr">
        <is>
          <t>1Q26 release, 17/04/2026: "trên 7,900 tỷ, +58% CK"</t>
        </is>
      </c>
      <c r="G9" s="7" t="inlineStr">
        <is>
          <t>Exact value taken as 18,880 − 10,959.</t>
        </is>
      </c>
    </row>
    <row r="10">
      <c r="A10" s="6" t="n">
        <v>4</v>
      </c>
      <c r="B10" s="6" t="inlineStr">
        <is>
          <t>TOI 1H26</t>
        </is>
      </c>
      <c r="C10" s="6" t="inlineStr">
        <is>
          <t>43,400 (+35.2%)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1H26 release; parent bank contributed &gt;31,600 (+35%)</t>
        </is>
      </c>
      <c r="G10" s="7" t="inlineStr">
        <is>
          <t>Parent figure is a contribution to TOI, not a profit figure — do not restate as profit.</t>
        </is>
      </c>
    </row>
    <row r="11">
      <c r="A11" s="6" t="n">
        <v>5</v>
      </c>
      <c r="B11" s="6" t="inlineStr">
        <is>
          <t>Total assets end-Jun-26</t>
        </is>
      </c>
      <c r="C11" s="6" t="inlineStr">
        <is>
          <t>&gt;1,500,000 (+19.2% vs end-25)</t>
        </is>
      </c>
      <c r="D11" s="6" t="inlineStr">
        <is>
          <t>VNDbn</t>
        </is>
      </c>
      <c r="E11" s="6" t="inlineStr">
        <is>
          <t>COMPANY</t>
        </is>
      </c>
      <c r="F11" s="7" t="inlineStr">
        <is>
          <t>1H26 release</t>
        </is>
      </c>
      <c r="G11" s="7" t="inlineStr"/>
    </row>
    <row r="12">
      <c r="A12" s="6" t="n">
        <v>6</v>
      </c>
      <c r="B12" s="6" t="inlineStr">
        <is>
          <t>Credit balance, parent bank</t>
        </is>
      </c>
      <c r="C12" s="6" t="inlineStr">
        <is>
          <t>~1,060,000 (+24.6% YTD)</t>
        </is>
      </c>
      <c r="D12" s="6" t="inlineStr">
        <is>
          <t>VNDbn</t>
        </is>
      </c>
      <c r="E12" s="6" t="inlineStr">
        <is>
          <t>COMPANY</t>
        </is>
      </c>
      <c r="F12" s="7" t="inlineStr">
        <is>
          <t>1H26 release</t>
        </is>
      </c>
      <c r="G12" s="7" t="inlineStr">
        <is>
          <t>Parent-bank scope. Consolidated credit &gt;1,180,000 (+23% YTD) per the same release.</t>
        </is>
      </c>
    </row>
    <row r="13">
      <c r="A13" s="6" t="n">
        <v>7</v>
      </c>
      <c r="B13" s="6" t="inlineStr">
        <is>
          <t>NPL</t>
        </is>
      </c>
      <c r="C13" s="6" t="inlineStr">
        <is>
          <t>parent ~2% (Circular 31); consolidated &lt;3%</t>
        </is>
      </c>
      <c r="D13" s="6" t="inlineStr">
        <is>
          <t>%</t>
        </is>
      </c>
      <c r="E13" s="6" t="inlineStr">
        <is>
          <t>COMPANY</t>
        </is>
      </c>
      <c r="F13" s="7" t="inlineStr">
        <is>
          <t>1H26 release</t>
        </is>
      </c>
      <c r="G13" s="7" t="inlineStr">
        <is>
          <t>TWO DIFFERENT SCOPES. Never quote one as the other.</t>
        </is>
      </c>
    </row>
    <row r="14">
      <c r="B14" s="5" t="inlineStr">
        <is>
          <t>VPB — BASE YEAR AND PLAN</t>
        </is>
      </c>
    </row>
    <row r="15">
      <c r="A15" s="6" t="n">
        <v>8</v>
      </c>
      <c r="B15" s="6" t="inlineStr">
        <is>
          <t>FY25 PBT</t>
        </is>
      </c>
      <c r="C15" s="6" t="inlineStr">
        <is>
          <t>30,600 (+53%)</t>
        </is>
      </c>
      <c r="D15" s="6" t="inlineStr">
        <is>
          <t>VNDbn</t>
        </is>
      </c>
      <c r="E15" s="6" t="inlineStr">
        <is>
          <t>COMPANY</t>
        </is>
      </c>
      <c r="F15" s="7" t="inlineStr">
        <is>
          <t>FY25 release, 19/01/2026; 121% of plan</t>
        </is>
      </c>
      <c r="G15" s="7" t="inlineStr">
        <is>
          <t>Parent bank 26,300 (+44.4%). Subsidiaries FY25: VPBankS 4,476 (4x), OPES &gt;638, FE Credit &gt;600.</t>
        </is>
      </c>
    </row>
    <row r="16">
      <c r="A16" s="6" t="n">
        <v>9</v>
      </c>
      <c r="B16" s="6" t="inlineStr">
        <is>
          <t>9M25 PBT</t>
        </is>
      </c>
      <c r="C16" s="6" t="inlineStr">
        <is>
          <t>20,400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9M25 release</t>
        </is>
      </c>
      <c r="G16" s="7" t="inlineStr">
        <is>
          <t>Rounded in the release ("hơn 20,400").</t>
        </is>
      </c>
    </row>
    <row r="17">
      <c r="A17" s="6" t="n">
        <v>10</v>
      </c>
      <c r="B17" s="6" t="inlineStr">
        <is>
          <t>FY26 plan PBT</t>
        </is>
      </c>
      <c r="C17" s="6" t="inlineStr">
        <is>
          <t>41,323 (+35%)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AGM 22/04/2026</t>
        </is>
      </c>
      <c r="G17" s="7" t="inlineStr"/>
    </row>
    <row r="18">
      <c r="B18" s="5" t="inlineStr">
        <is>
          <t>VPB — DERIVED QUARTERLY SERIES (chart on slide 3)</t>
        </is>
      </c>
    </row>
    <row r="19">
      <c r="A19" s="6" t="n">
        <v>11</v>
      </c>
      <c r="B19" s="6" t="inlineStr">
        <is>
          <t>PBT 2Q25</t>
        </is>
      </c>
      <c r="C19" s="6" t="inlineStr">
        <is>
          <t>6,230</t>
        </is>
      </c>
      <c r="D19" s="6" t="inlineStr">
        <is>
          <t>VNDbn</t>
        </is>
      </c>
      <c r="E19" s="6" t="inlineStr">
        <is>
          <t>DERIVED</t>
        </is>
      </c>
      <c r="F19" s="7">
        <f> 10,959 / 1.76 (2Q26 +76% YoY)</f>
        <v/>
      </c>
      <c r="G19" s="7" t="inlineStr">
        <is>
          <t>Implies 1H25 = 11,240; check 18,880 / 11,240 = +68.0% — matches the reported growth.</t>
        </is>
      </c>
    </row>
    <row r="20">
      <c r="A20" s="6" t="n">
        <v>12</v>
      </c>
      <c r="B20" s="6" t="inlineStr">
        <is>
          <t>PBT 1Q25</t>
        </is>
      </c>
      <c r="C20" s="6" t="inlineStr">
        <is>
          <t>5,010</t>
        </is>
      </c>
      <c r="D20" s="6" t="inlineStr">
        <is>
          <t>VNDbn</t>
        </is>
      </c>
      <c r="E20" s="6" t="inlineStr">
        <is>
          <t>DERIVED</t>
        </is>
      </c>
      <c r="F20" s="7">
        <f> 7,921 / 1.58 (1Q26 +58% YoY)</f>
        <v/>
      </c>
      <c r="G20" s="7" t="inlineStr"/>
    </row>
    <row r="21">
      <c r="A21" s="6" t="n">
        <v>13</v>
      </c>
      <c r="B21" s="6" t="inlineStr">
        <is>
          <t>PBT 3Q25</t>
        </is>
      </c>
      <c r="C21" s="6" t="inlineStr">
        <is>
          <t>9,160</t>
        </is>
      </c>
      <c r="D21" s="6" t="inlineStr">
        <is>
          <t>VNDbn</t>
        </is>
      </c>
      <c r="E21" s="6" t="inlineStr">
        <is>
          <t>DERIVED</t>
        </is>
      </c>
      <c r="F21" s="7">
        <f> 20,400 (9M25) − 11,240 (1H25)</f>
        <v/>
      </c>
      <c r="G21" s="7" t="inlineStr">
        <is>
          <t>Cumulative sources are rounded, so this carries a few hundred bn of rounding error. Chart footnote says so.</t>
        </is>
      </c>
    </row>
    <row r="22">
      <c r="A22" s="6" t="n">
        <v>14</v>
      </c>
      <c r="B22" s="6" t="inlineStr">
        <is>
          <t>PBT 4Q25</t>
        </is>
      </c>
      <c r="C22" s="6" t="inlineStr">
        <is>
          <t>10,200</t>
        </is>
      </c>
      <c r="D22" s="6" t="inlineStr">
        <is>
          <t>VNDbn</t>
        </is>
      </c>
      <c r="E22" s="6" t="inlineStr">
        <is>
          <t>DERIVED</t>
        </is>
      </c>
      <c r="F22" s="7">
        <f> 30,600 (FY25) − 20,400 (9M25)</f>
        <v/>
      </c>
      <c r="G22" s="7" t="inlineStr">
        <is>
          <t>Same rounding caveat.</t>
        </is>
      </c>
    </row>
    <row r="23">
      <c r="A23" s="6" t="n">
        <v>15</v>
      </c>
      <c r="B23" s="6" t="inlineStr">
        <is>
          <t>PBT 2H25</t>
        </is>
      </c>
      <c r="C23" s="6" t="inlineStr">
        <is>
          <t>~19,360</t>
        </is>
      </c>
      <c r="D23" s="6" t="inlineStr">
        <is>
          <t>VNDbn</t>
        </is>
      </c>
      <c r="E23" s="6" t="inlineStr">
        <is>
          <t>DERIVED</t>
        </is>
      </c>
      <c r="F23" s="7">
        <f> 30,600 − 11,240</f>
        <v/>
      </c>
      <c r="G23" s="7" t="inlineStr">
        <is>
          <t>Base for the 2H26 slowdown point. Plotted on slide 4 alongside 1H25 = 11,240 (= 18,880 / 1.68), 1H26 = 18,880 and the 22,443 needed for plan.</t>
        </is>
      </c>
    </row>
    <row r="24">
      <c r="A24" s="6" t="n">
        <v>16</v>
      </c>
      <c r="B24" s="6" t="inlineStr">
        <is>
          <t>2H26 PBT needed to hit plan</t>
        </is>
      </c>
      <c r="C24" s="6" t="inlineStr">
        <is>
          <t>22,443 (+16% YoY)</t>
        </is>
      </c>
      <c r="D24" s="6" t="inlineStr">
        <is>
          <t>VNDbn</t>
        </is>
      </c>
      <c r="E24" s="6" t="inlineStr">
        <is>
          <t>DERIVED</t>
        </is>
      </c>
      <c r="F24" s="7">
        <f> 41,323 − 18,880</f>
        <v/>
      </c>
      <c r="G24" s="7" t="inlineStr">
        <is>
          <t>Plotted as the 4th column of the slide-4 chart in a lighter colour and labelled "2H26 cần để đạt KH". IT IS NOT A MAS FORECAST — slide footnote says so explicitly.</t>
        </is>
      </c>
    </row>
    <row r="25">
      <c r="B25" s="5" t="inlineStr">
        <is>
          <t>VPB — CAPITAL INCREASE AND FOREIGN ROOM</t>
        </is>
      </c>
    </row>
    <row r="26">
      <c r="A26" s="6" t="n">
        <v>17</v>
      </c>
      <c r="B26" s="6" t="inlineStr">
        <is>
          <t>Charter capital</t>
        </is>
      </c>
      <c r="C26" s="6" t="inlineStr">
        <is>
          <t>79,339 → 106,243</t>
        </is>
      </c>
      <c r="D26" s="6" t="inlineStr">
        <is>
          <t>VNDbn</t>
        </is>
      </c>
      <c r="E26" s="6" t="inlineStr">
        <is>
          <t>COMPANY</t>
        </is>
      </c>
      <c r="F26" s="7" t="inlineStr">
        <is>
          <t>AGM 22/04/2026</t>
        </is>
      </c>
      <c r="G26" s="7" t="inlineStr">
        <is>
          <t>Would be the largest in the system.</t>
        </is>
      </c>
    </row>
    <row r="27">
      <c r="A27" s="6" t="n">
        <v>18</v>
      </c>
      <c r="B27" s="6" t="inlineStr">
        <is>
          <t>Step 1 — stock dividend</t>
        </is>
      </c>
      <c r="C27" s="6" t="inlineStr">
        <is>
          <t>26.04% (~2.06bn shares)</t>
        </is>
      </c>
      <c r="D27" s="6" t="inlineStr">
        <is>
          <t>ratio</t>
        </is>
      </c>
      <c r="E27" s="6" t="inlineStr">
        <is>
          <t>COMPANY</t>
        </is>
      </c>
      <c r="F27" s="7" t="inlineStr">
        <is>
          <t>Written consent: record date 30/06/2026, deadline 16/07/2026; execution expected 3Q–4Q26</t>
        </is>
      </c>
      <c r="G27" s="7" t="inlineStr">
        <is>
          <t>Source switched from capital surplus + reserve funds to &gt;20,660bn of retained earnings. NOT YET EXECUTED as at 30/07/2026 — the price and TP are both pre-dilution.</t>
        </is>
      </c>
    </row>
    <row r="28">
      <c r="A28" s="6" t="n">
        <v>19</v>
      </c>
      <c r="B28" s="6" t="inlineStr">
        <is>
          <t>Step 2 — private placement</t>
        </is>
      </c>
      <c r="C28" s="6" t="inlineStr">
        <is>
          <t>624mn shares (~6,243bn)</t>
        </is>
      </c>
      <c r="D28" s="6" t="inlineStr">
        <is>
          <t>shares</t>
        </is>
      </c>
      <c r="E28" s="6" t="inlineStr">
        <is>
          <t>COMPANY + PRESS</t>
        </is>
      </c>
      <c r="F28" s="7" t="inlineStr">
        <is>
          <t>AGM 22/04/2026; expected 3Q–4Q26; foreign ownership could reach ~34%</t>
        </is>
      </c>
      <c r="G28" s="7" t="inlineStr">
        <is>
          <t>Buyer described as an existing strategic shareholder or a qualifying foreign institution — NOT NAMED. Do not name one.</t>
        </is>
      </c>
    </row>
    <row r="29">
      <c r="A29" s="6" t="n">
        <v>20</v>
      </c>
      <c r="B29" s="6" t="inlineStr">
        <is>
          <t>Decree 69/2025/NĐ-CP</t>
        </is>
      </c>
      <c r="C29" s="6" t="inlineStr">
        <is>
          <t>foreign cap up to 49%</t>
        </is>
      </c>
      <c r="D29" s="6" t="inlineStr">
        <is>
          <t>%</t>
        </is>
      </c>
      <c r="E29" s="6" t="inlineStr">
        <is>
          <t>REGULATION</t>
        </is>
      </c>
      <c r="F29" s="7" t="inlineStr">
        <is>
          <t>Effective 19/05/2025; applies to banks receiving mandatory transfers of weak banks — VPB (GPBank), MBB (MBV), HDB (Vikki)</t>
        </is>
      </c>
      <c r="G29" s="7" t="inlineStr">
        <is>
          <t>Not automatic: needs a specific approval. Current foreign ownership: VPB 24.3%, MBB 22.3%, HDB 16.9%. Excludes banks &gt;50% state-owned.</t>
        </is>
      </c>
    </row>
    <row r="30">
      <c r="A30" s="6" t="n">
        <v>21</v>
      </c>
      <c r="B30" s="6" t="inlineStr">
        <is>
          <t>Cash dividend</t>
        </is>
      </c>
      <c r="C30" s="6" t="inlineStr">
        <is>
          <t>5% of par (&gt;3,900bn)</t>
        </is>
      </c>
      <c r="D30" s="6" t="inlineStr">
        <is>
          <t>VNDbn</t>
        </is>
      </c>
      <c r="E30" s="6" t="inlineStr">
        <is>
          <t>COMPANY</t>
        </is>
      </c>
      <c r="F30" s="7" t="inlineStr">
        <is>
          <t>FY25 dividend announcement</t>
        </is>
      </c>
      <c r="G30" s="7" t="inlineStr"/>
    </row>
    <row r="31">
      <c r="B31" s="5" t="inlineStr">
        <is>
          <t>VPB — PRICE, TP, FORECAST</t>
        </is>
      </c>
    </row>
    <row r="32">
      <c r="A32" s="6" t="n">
        <v>22</v>
      </c>
      <c r="B32" s="6" t="inlineStr">
        <is>
          <t>Share price</t>
        </is>
      </c>
      <c r="C32" s="6" t="inlineStr">
        <is>
          <t>24,600</t>
        </is>
      </c>
      <c r="D32" s="6" t="inlineStr">
        <is>
          <t>VND/share</t>
        </is>
      </c>
      <c r="E32" s="6" t="inlineStr">
        <is>
          <t>PRESS</t>
        </is>
      </c>
      <c r="F32" s="7" t="inlineStr">
        <is>
          <t>Quoted for 28/07/2026; 24,950 on 24/07/2026</t>
        </is>
      </c>
      <c r="G32" s="7" t="inlineStr">
        <is>
          <t>FROM A SEARCH SNIPPET, NOT A MARKET FEED (FiinQuant connector not authorised). Refresh before recording.</t>
        </is>
      </c>
    </row>
    <row r="33">
      <c r="A33" s="6" t="n">
        <v>23</v>
      </c>
      <c r="B33" s="6" t="inlineStr">
        <is>
          <t>MAS target price</t>
        </is>
      </c>
      <c r="C33" s="6" t="inlineStr">
        <is>
          <t>33,800</t>
        </is>
      </c>
      <c r="D33" s="6" t="inlineStr">
        <is>
          <t>VND/share</t>
        </is>
      </c>
      <c r="E33" s="6" t="inlineStr">
        <is>
          <t>MAS</t>
        </is>
      </c>
      <c r="F33" s="7" t="inlineStr">
        <is>
          <t>Stock_Pick_and_Forecast_Aug26_MAS_RS_EN_updated.xlsx, Target Price sheet row 7</t>
        </is>
      </c>
      <c r="G33" s="7" t="inlineStr">
        <is>
          <t>Pre-dilution basis. After a 26.04% stock dividend this is ~26,800 — say "pre-dilution" if asked.</t>
        </is>
      </c>
    </row>
    <row r="34">
      <c r="A34" s="6" t="n">
        <v>24</v>
      </c>
      <c r="B34" s="6" t="inlineStr">
        <is>
          <t>Upside to TP</t>
        </is>
      </c>
      <c r="C34" s="6" t="inlineStr">
        <is>
          <t>+37.4%</t>
        </is>
      </c>
      <c r="D34" s="6" t="inlineStr">
        <is>
          <t>%</t>
        </is>
      </c>
      <c r="E34" s="6" t="inlineStr">
        <is>
          <t>DERIVED</t>
        </is>
      </c>
      <c r="F34" s="7">
        <f> 33,800 / 24,600 − 1</f>
        <v/>
      </c>
      <c r="G34" s="7" t="inlineStr">
        <is>
          <t>Moves with the price; recheck on the day.</t>
        </is>
      </c>
    </row>
    <row r="35">
      <c r="A35" s="6" t="n">
        <v>25</v>
      </c>
      <c r="B35" s="6" t="inlineStr">
        <is>
          <t>MAS 2026F NPATMI</t>
        </is>
      </c>
      <c r="C35" s="6" t="inlineStr">
        <is>
          <t>29,056</t>
        </is>
      </c>
      <c r="D35" s="6" t="inlineStr">
        <is>
          <t>VNDbn</t>
        </is>
      </c>
      <c r="E35" s="6" t="inlineStr">
        <is>
          <t>MAS</t>
        </is>
      </c>
      <c r="F35" s="7" t="inlineStr">
        <is>
          <t>Same file</t>
        </is>
      </c>
      <c r="G35" s="7" t="inlineStr"/>
    </row>
    <row r="36">
      <c r="A36" s="6" t="n">
        <v>26</v>
      </c>
      <c r="B36" s="6" t="inlineStr">
        <is>
          <t>MAS 2027F NPATMI</t>
        </is>
      </c>
      <c r="C36" s="6" t="inlineStr">
        <is>
          <t>36,119 (+24.3%)</t>
        </is>
      </c>
      <c r="D36" s="6" t="inlineStr">
        <is>
          <t>VNDbn</t>
        </is>
      </c>
      <c r="E36" s="6" t="inlineStr">
        <is>
          <t>MAS</t>
        </is>
      </c>
      <c r="F36" s="7" t="inlineStr">
        <is>
          <t>Same file</t>
        </is>
      </c>
      <c r="G36" s="7" t="inlineStr"/>
    </row>
    <row r="37">
      <c r="B37" s="5" t="inlineStr">
        <is>
          <t>KNOWN GAPS — read before recording</t>
        </is>
      </c>
    </row>
    <row r="38">
      <c r="A38" s="6" t="n">
        <v>27</v>
      </c>
      <c r="B38" s="6" t="inlineStr">
        <is>
          <t>G1 FY25 NPATMI not sourced</t>
        </is>
      </c>
      <c r="C38" s="6" t="inlineStr">
        <is>
          <t>—</t>
        </is>
      </c>
      <c r="D38" s="6" t="inlineStr"/>
      <c r="E38" s="6" t="inlineStr">
        <is>
          <t>GAP</t>
        </is>
      </c>
      <c r="F38" s="7" t="inlineStr"/>
      <c r="G38" s="7" t="inlineStr">
        <is>
          <t>So the script quotes no 2026F NPATMI growth rate. Only the absolute 2026F/2027F figures and the 2027F growth are used.</t>
        </is>
      </c>
    </row>
    <row r="39">
      <c r="A39" s="6" t="n">
        <v>28</v>
      </c>
      <c r="B39" s="6" t="inlineStr">
        <is>
          <t>G2 Forecast looks stale</t>
        </is>
      </c>
      <c r="C39" s="6" t="inlineStr">
        <is>
          <t>—</t>
        </is>
      </c>
      <c r="D39" s="6" t="inlineStr"/>
      <c r="E39" s="6" t="inlineStr">
        <is>
          <t>GAP</t>
        </is>
      </c>
      <c r="F39" s="7" t="inlineStr"/>
      <c r="G39" s="7" t="inlineStr">
        <is>
          <t>MAS 2026F NPATMI 29,056 implies PBT materially below the 41,323 plan, yet 1H26 is already at ~46% of plan and 2Q26 set a record. The VPB model looks due for an upgrade; not revised for this HotStock.</t>
        </is>
      </c>
    </row>
    <row r="40">
      <c r="A40" s="6" t="n">
        <v>29</v>
      </c>
      <c r="B40" s="6" t="inlineStr">
        <is>
          <t>G3 No NPL chart</t>
        </is>
      </c>
      <c r="C40" s="6" t="inlineStr">
        <is>
          <t>—</t>
        </is>
      </c>
      <c r="D40" s="6" t="inlineStr"/>
      <c r="E40" s="6" t="inlineStr">
        <is>
          <t>GAP</t>
        </is>
      </c>
      <c r="F40" s="7" t="inlineStr"/>
      <c r="G40" s="7" t="inlineStr">
        <is>
          <t>Quarterly NPL bucket data for VPB was not obtained, so the deck carries two PBT charts (quarterly and half-yearly) instead of the profit + NPL pair used in the STB/EIB mobile reports. Spec allows 1-2 visuals.</t>
        </is>
      </c>
    </row>
    <row r="41">
      <c r="A41" s="6" t="n">
        <v>30</v>
      </c>
      <c r="B41" s="6" t="inlineStr">
        <is>
          <t>G4 TP predates 2Q26</t>
        </is>
      </c>
      <c r="C41" s="6" t="inlineStr">
        <is>
          <t>—</t>
        </is>
      </c>
      <c r="D41" s="6" t="inlineStr"/>
      <c r="E41" s="6" t="inlineStr">
        <is>
          <t>GAP</t>
        </is>
      </c>
      <c r="F41" s="7" t="inlineStr"/>
      <c r="G41" s="7" t="inlineStr">
        <is>
          <t>TP 33,800 was set before the 2Q26 print and has not been re-derived here.</t>
        </is>
      </c>
    </row>
    <row r="42">
      <c r="A42" s="6" t="n">
        <v>31</v>
      </c>
      <c r="B42" s="6" t="inlineStr">
        <is>
          <t>G5 Derived quarters</t>
        </is>
      </c>
      <c r="C42" s="6" t="inlineStr">
        <is>
          <t>—</t>
        </is>
      </c>
      <c r="D42" s="6" t="inlineStr"/>
      <c r="E42" s="6" t="inlineStr">
        <is>
          <t>GAP</t>
        </is>
      </c>
      <c r="F42" s="7" t="inlineStr"/>
      <c r="G42" s="7" t="inlineStr">
        <is>
          <t>3Q25 and 4Q25 chart columns are arithmetic on rounded cumulative disclosures — footnoted on the slide.</t>
        </is>
      </c>
    </row>
    <row r="43">
      <c r="A43" s="6" t="n">
        <v>32</v>
      </c>
      <c r="B43" s="6" t="inlineStr">
        <is>
          <t>G6 No visual QA</t>
        </is>
      </c>
      <c r="C43" s="6" t="inlineStr">
        <is>
          <t>—</t>
        </is>
      </c>
      <c r="D43" s="6" t="inlineStr"/>
      <c r="E43" s="6" t="inlineStr">
        <is>
          <t>GAP</t>
        </is>
      </c>
      <c r="F43" s="7" t="inlineStr"/>
      <c r="G43" s="7" t="inlineStr">
        <is>
          <t>LibreOffice cannot open .pptx in this environment, so slide layout was verified by XML/text inspection only. Open the deck once before recording — SmartArt text is longer than the template original and PowerPoint will re-fit it.</t>
        </is>
      </c>
    </row>
    <row r="45">
      <c r="B45" s="5" t="inlineStr">
        <is>
          <t>VPB — FIINPROX QUARTERLY (nguồn biểu đồ slide 4-5 và ảnh PNG)</t>
        </is>
      </c>
    </row>
    <row r="46">
      <c r="A46" s="6" t="n">
        <v>33</v>
      </c>
      <c r="B46" s="6" t="inlineStr">
        <is>
          <t>Source file</t>
        </is>
      </c>
      <c r="C46" s="6" t="inlineStr">
        <is>
          <t>FiinProX_DuLieuTaiChinh_ChiSoTaiChinh_VPB_20260730.xlsx</t>
        </is>
      </c>
      <c r="D46" s="6" t="inlineStr"/>
      <c r="E46" s="6" t="inlineStr">
        <is>
          <t>FIINPROX</t>
        </is>
      </c>
      <c r="F46" s="7" t="inlineStr">
        <is>
          <t>Trích xuất 30/07/2026, 55 kỳ Q1/2012–Q2/2026, Sheet1</t>
        </is>
      </c>
      <c r="G46" s="7" t="inlineStr">
        <is>
          <t>Toàn bộ số trong hai biểu đồ mới và hai ảnh PNG lấy từ file này, không suy diễn.</t>
        </is>
      </c>
    </row>
    <row r="47">
      <c r="A47" s="6" t="n">
        <v>34</v>
      </c>
      <c r="B47" s="6" t="inlineStr">
        <is>
          <t>Nợ xấu nhóm 3-5 / tổng dư nợ, Q2/26</t>
        </is>
      </c>
      <c r="C47" s="6" t="inlineStr">
        <is>
          <t>3.34</t>
        </is>
      </c>
      <c r="D47" s="6" t="inlineStr">
        <is>
          <t>%</t>
        </is>
      </c>
      <c r="E47" s="6" t="inlineStr">
        <is>
          <t>FIINPROX</t>
        </is>
      </c>
      <c r="F47" s="7" t="inlineStr">
        <is>
          <t>Sheet1 dòng 49</t>
        </is>
      </c>
      <c r="G47" s="7" t="inlineStr">
        <is>
          <t>Đỉnh 6.71% tại Q2/2023 (giảm 50.2%). Thấp nhất kể từ Q2/2020 (3.26%). Chuỗi Q1/24-Q2/26 dùng cho biểu đồ slide 4.</t>
        </is>
      </c>
    </row>
    <row r="48">
      <c r="A48" s="6" t="n">
        <v>35</v>
      </c>
      <c r="B48" s="6" t="inlineStr">
        <is>
          <t>Nợ nhóm 2-5 / tổng dư nợ, Q2/26</t>
        </is>
      </c>
      <c r="C48" s="6" t="inlineStr">
        <is>
          <t>6.57</t>
        </is>
      </c>
      <c r="D48" s="6" t="inlineStr">
        <is>
          <t>%</t>
        </is>
      </c>
      <c r="E48" s="6" t="inlineStr">
        <is>
          <t>FIINPROX</t>
        </is>
      </c>
      <c r="F48" s="7" t="inlineStr">
        <is>
          <t>Sheet1 dòng 51</t>
        </is>
      </c>
      <c r="G48" s="7" t="inlineStr">
        <is>
          <t>Đỉnh 15.14% tại Q2/2023 (giảm 56.6%). Chỉ hiển thị trên ảnh PNG, không lên slide.</t>
        </is>
      </c>
    </row>
    <row r="49">
      <c r="A49" s="6" t="n">
        <v>36</v>
      </c>
      <c r="B49" s="6" t="inlineStr">
        <is>
          <t>CONFLICT — định nghĩa nợ xấu hợp nhất</t>
        </is>
      </c>
      <c r="C49" s="6" t="inlineStr">
        <is>
          <t>3.34% (FiinProX) vs "dưới 3%" (VPBank)</t>
        </is>
      </c>
      <c r="D49" s="6" t="inlineStr">
        <is>
          <t>%</t>
        </is>
      </c>
      <c r="E49" s="6" t="inlineStr">
        <is>
          <t>CONFLICT</t>
        </is>
      </c>
      <c r="F49" s="7" t="inlineStr">
        <is>
          <t>Thông cáo 1H26 của VPBank: "nợ xấu hợp nhất dưới 3%"; FiinProX tính nhóm 3-5 / tổng dư nợ = 3.34%</t>
        </is>
      </c>
      <c r="G49" s="7" t="inlineStr">
        <is>
          <t>CHƯA ĐỐI CHIẾU ĐƯỢC mẫu số/phạm vi của con số ngân hàng công bố. Bản đọc và slide đều dùng 3.34% của FiinProX để thống nhất với biểu đồ; câu "hợp nhất dưới 3%" đã bị gỡ khỏi bản đọc và SmartArt.</t>
        </is>
      </c>
    </row>
    <row r="50">
      <c r="A50" s="6" t="n">
        <v>37</v>
      </c>
      <c r="B50" s="6" t="inlineStr">
        <is>
          <t>Chi phí dự phòng / cho vay khách hàng, Q2/26</t>
        </is>
      </c>
      <c r="C50" s="6" t="inlineStr">
        <is>
          <t>2.24</t>
        </is>
      </c>
      <c r="D50" s="6" t="inlineStr">
        <is>
          <t>%</t>
        </is>
      </c>
      <c r="E50" s="6" t="inlineStr">
        <is>
          <t>FIINPROX</t>
        </is>
      </c>
      <c r="F50" s="7" t="inlineStr">
        <is>
          <t>Sheet1 dòng 22</t>
        </is>
      </c>
      <c r="G50" s="7" t="inlineStr">
        <is>
          <t>Đỉnh 5.95% tại Q4/2021. Đây là động lực chính của đà tăng lợi nhuận — đã đưa vào Luận điểm 1.</t>
        </is>
      </c>
    </row>
    <row r="51">
      <c r="A51" s="6" t="n">
        <v>38</v>
      </c>
      <c r="B51" s="6" t="inlineStr">
        <is>
          <t>Tăng trưởng cho vay khách hàng (%YoY), Q2/26</t>
        </is>
      </c>
      <c r="C51" s="6" t="inlineStr">
        <is>
          <t>40.41</t>
        </is>
      </c>
      <c r="D51" s="6" t="inlineStr">
        <is>
          <t>%</t>
        </is>
      </c>
      <c r="E51" s="6" t="inlineStr">
        <is>
          <t>FIINPROX</t>
        </is>
      </c>
      <c r="F51" s="7" t="inlineStr">
        <is>
          <t>Sheet1 dòng 74</t>
        </is>
      </c>
      <c r="G51" s="7" t="inlineStr">
        <is>
          <t>Đã 5 quý liên tiếp trên 30%. KHÔNG phải mức cao nhất: Q1/26 43.12% và Q3/25 41.82% cao hơn — tránh nói "cao nhất". Khác với "+24.6% YTD ngân hàng mẹ" trong thông cáo (YoY vs YTD, hợp nhất vs riêng lẻ).</t>
        </is>
      </c>
    </row>
    <row r="52">
      <c r="A52" s="6" t="n">
        <v>39</v>
      </c>
      <c r="B52" s="6" t="inlineStr">
        <is>
          <t>ROE, Q2/26</t>
        </is>
      </c>
      <c r="C52" s="6" t="inlineStr">
        <is>
          <t>17.05</t>
        </is>
      </c>
      <c r="D52" s="6" t="inlineStr">
        <is>
          <t>%</t>
        </is>
      </c>
      <c r="E52" s="6" t="inlineStr">
        <is>
          <t>FIINPROX</t>
        </is>
      </c>
      <c r="F52" s="7" t="inlineStr">
        <is>
          <t>Sheet1 dòng 69</t>
        </is>
      </c>
      <c r="G52" s="7" t="inlineStr">
        <is>
          <t>Tăng 10 quý liên tiếp từ đáy 7.09% (Q4/2023).</t>
        </is>
      </c>
    </row>
    <row r="53">
      <c r="A53" s="6" t="n">
        <v>40</v>
      </c>
      <c r="B53" s="6" t="inlineStr">
        <is>
          <t>NIM, Q2/26</t>
        </is>
      </c>
      <c r="C53" s="6" t="inlineStr">
        <is>
          <t>5.17</t>
        </is>
      </c>
      <c r="D53" s="6" t="inlineStr">
        <is>
          <t>%</t>
        </is>
      </c>
      <c r="E53" s="6" t="inlineStr">
        <is>
          <t>FIINPROX</t>
        </is>
      </c>
      <c r="F53" s="7" t="inlineStr">
        <is>
          <t>Sheet1 dòng 64</t>
        </is>
      </c>
      <c r="G53" s="7" t="inlineStr">
        <is>
          <t>Giảm từ 5.83% (Q4/2024) — mặt trái của câu chuyện, đã nêu ở [Chốt].</t>
        </is>
      </c>
    </row>
    <row r="54">
      <c r="A54" s="6" t="n">
        <v>41</v>
      </c>
      <c r="B54" s="6" t="inlineStr">
        <is>
          <t>CASA, Q2/26</t>
        </is>
      </c>
      <c r="C54" s="6" t="inlineStr">
        <is>
          <t>11.49</t>
        </is>
      </c>
      <c r="D54" s="6" t="inlineStr">
        <is>
          <t>%</t>
        </is>
      </c>
      <c r="E54" s="6" t="inlineStr">
        <is>
          <t>FIINPROX</t>
        </is>
      </c>
      <c r="F54" s="7" t="inlineStr">
        <is>
          <t>Sheet1 dòng 25</t>
        </is>
      </c>
      <c r="G54" s="7" t="inlineStr">
        <is>
          <t>Thấp nhất trong giai đoạn quan sát.</t>
        </is>
      </c>
    </row>
    <row r="55">
      <c r="A55" s="6" t="n">
        <v>42</v>
      </c>
      <c r="B55" s="6" t="inlineStr">
        <is>
          <t>Bao phủ nợ xấu (dự phòng/nợ xấu), Q2/26</t>
        </is>
      </c>
      <c r="C55" s="6" t="inlineStr">
        <is>
          <t>56.2</t>
        </is>
      </c>
      <c r="D55" s="6" t="inlineStr">
        <is>
          <t>%</t>
        </is>
      </c>
      <c r="E55" s="6" t="inlineStr">
        <is>
          <t>FIINPROX</t>
        </is>
      </c>
      <c r="F55" s="7" t="inlineStr">
        <is>
          <t>Sheet1 dòng 20</t>
        </is>
      </c>
      <c r="G55" s="7" t="inlineStr">
        <is>
          <t>Vẫn thấp so với nhóm ngân hàng dẫn đầu — rủi ro nếu chu kỳ nợ xấu quay lại.</t>
        </is>
      </c>
    </row>
    <row r="56">
      <c r="A56" s="6" t="n">
        <v>43</v>
      </c>
      <c r="B56" s="6" t="inlineStr">
        <is>
          <t>Cho vay / tiền gửi (FiinProX), Q2/26</t>
        </is>
      </c>
      <c r="C56" s="6" t="inlineStr">
        <is>
          <t>110.5</t>
        </is>
      </c>
      <c r="D56" s="6" t="inlineStr">
        <is>
          <t>%</t>
        </is>
      </c>
      <c r="E56" s="6" t="inlineStr">
        <is>
          <t>FIINPROX</t>
        </is>
      </c>
      <c r="F56" s="7" t="inlineStr">
        <is>
          <t>Sheet1 dòng 57</t>
        </is>
      </c>
      <c r="G56" s="7" t="inlineStr">
        <is>
          <t>KHÔNG PHẢI tỷ lệ LDR theo quy định. VPBank công bố LDR 84.5%. Đã bỏ khỏi bộ biểu đồ để tránh hiểu nhầm vi phạm trần; chỉ ghi chú dưới ảnh PNG.</t>
        </is>
      </c>
    </row>
    <row r="57">
      <c r="A57" s="6" t="n">
        <v>44</v>
      </c>
      <c r="B57" s="6" t="inlineStr">
        <is>
          <t>Bảng màu biểu đồ</t>
        </is>
      </c>
      <c r="C57" s="6" t="inlineStr">
        <is>
          <t>0F5FA8 / C7811F</t>
        </is>
      </c>
      <c r="D57" s="6" t="inlineStr">
        <is>
          <t>hex</t>
        </is>
      </c>
      <c r="E57" s="6" t="inlineStr">
        <is>
          <t>MAS</t>
        </is>
      </c>
      <c r="F57" s="7" t="inlineStr">
        <is>
          <t>Bước màu đã qua kiểm tra của trình validate (lightness, chroma, tách màu cho người mù màu, tương phản nền)</t>
        </is>
      </c>
      <c r="G57" s="7" t="inlineStr">
        <is>
          <t>Màu accent gốc của template (043B72 / F0B26B) trượt kiểm tra: cam quá nhạt (tương phản 1.81:1) trên nền slide gần trắng, navy quá tối. Toàn bộ biểu đồ trong deck đã đổi sang cặp mới.</t>
        </is>
      </c>
    </row>
    <row r="59">
      <c r="B59" s="6" t="inlineStr">
        <is>
          <t>G7 Deck lên 6 trang</t>
        </is>
      </c>
      <c r="E59" s="6" t="inlineStr">
        <is>
          <t>GAP</t>
        </is>
      </c>
      <c r="G59" s="7" t="inlineStr">
        <is>
          <t>Thêm 2 biểu đồ theo yêu cầu nên deck từ 5 lên 6 trang; biểu đồ LNTT theo nửa năm (nền 2H25 cao) đã bị gỡ, luận điểm đó vẫn nằm trong SmartArt và [Chốt] của bản đọc.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8"/>
  <sheetViews>
    <sheetView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22" customWidth="1" min="3" max="3"/>
    <col width="8" customWidth="1" min="4" max="4"/>
    <col width="18" customWidth="1" min="5" max="5"/>
    <col width="56" customWidth="1" min="6" max="6"/>
    <col width="70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for the STB + FPT outlook slides, 31/07/2026 revision</t>
        </is>
      </c>
    </row>
    <row r="3">
      <c r="A3" s="2" t="inlineStr">
        <is>
          <t>RULE: no figure enters a slide without a source. DERIVED = arithmetic on sourced figures, shown in full.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>
      <c r="B6" s="5" t="inlineStr">
        <is>
          <t>STB — 1H26 AS FILED (thay thế toàn bộ phần "sơ bộ" trong bản 24/07)</t>
        </is>
      </c>
    </row>
    <row r="7">
      <c r="A7" s="6" t="n">
        <v>1</v>
      </c>
      <c r="B7" s="6" t="inlineStr">
        <is>
          <t>PBT 1H26</t>
        </is>
      </c>
      <c r="C7" s="6" t="inlineStr">
        <is>
          <t>4,136</t>
        </is>
      </c>
      <c r="D7" s="6" t="inlineStr">
        <is>
          <t>VNDbn</t>
        </is>
      </c>
      <c r="E7" s="6" t="inlineStr">
        <is>
          <t>PRESS (tổng hợp KQKD 27 NH, 30/07/2026)</t>
        </is>
      </c>
      <c r="F7" s="7" t="inlineStr">
        <is>
          <t>"LNTT đạt 4,136 tỷ đồng, giảm 44% và hoàn thành 51% mục tiêu"</t>
        </is>
      </c>
      <c r="G7" s="7" t="inlineStr">
        <is>
          <t>Thay cho khoảng ước "4,000-4,100 tỷ" theo chia sẻ của CEO trong bản trước.</t>
        </is>
      </c>
    </row>
    <row r="8">
      <c r="A8" s="6" t="n">
        <v>2</v>
      </c>
      <c r="B8" s="6" t="inlineStr">
        <is>
          <t>PBT 1H25</t>
        </is>
      </c>
      <c r="C8" s="6" t="inlineStr">
        <is>
          <t>7,331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Số thực hiện 6T/2025</t>
        </is>
      </c>
      <c r="G8" s="7" t="inlineStr">
        <is>
          <t>Cross-check: 4,136/7,331-1 = -43.6%, khớp mức "-44%" được công bố.</t>
        </is>
      </c>
    </row>
    <row r="9">
      <c r="A9" s="6" t="n">
        <v>3</v>
      </c>
      <c r="B9" s="6" t="inlineStr">
        <is>
          <t>PBT 1Q26</t>
        </is>
      </c>
      <c r="C9" s="6" t="inlineStr">
        <is>
          <t>2,106</t>
        </is>
      </c>
      <c r="D9" s="6" t="inlineStr">
        <is>
          <t>VNDbn</t>
        </is>
      </c>
      <c r="E9" s="6" t="inlineStr">
        <is>
          <t>COMPANY</t>
        </is>
      </c>
      <c r="F9" s="7" t="inlineStr">
        <is>
          <t>BCTC Q1/2026 (-42.7% CK)</t>
        </is>
      </c>
      <c r="G9" s="7" t="inlineStr">
        <is>
          <t>Đã dùng trong bản 24/07.</t>
        </is>
      </c>
    </row>
    <row r="10">
      <c r="A10" s="6" t="n">
        <v>4</v>
      </c>
      <c r="B10" s="6" t="inlineStr">
        <is>
          <t>PBT 2Q26</t>
        </is>
      </c>
      <c r="C10" s="6" t="inlineStr">
        <is>
          <t>~2,030</t>
        </is>
      </c>
      <c r="D10" s="6" t="inlineStr">
        <is>
          <t>VNDbn</t>
        </is>
      </c>
      <c r="E10" s="6" t="inlineStr">
        <is>
          <t>DERIVED</t>
        </is>
      </c>
      <c r="F10" s="7">
        <f> 4,136 - 2,106</f>
        <v/>
      </c>
      <c r="G10" s="7" t="inlineStr">
        <is>
          <t>Ghi rõ trên slide là số suy ra.</t>
        </is>
      </c>
    </row>
    <row r="11">
      <c r="A11" s="6" t="n">
        <v>5</v>
      </c>
      <c r="B11" s="6" t="inlineStr">
        <is>
          <t>PBT 9M25</t>
        </is>
      </c>
      <c r="C11" s="6" t="inlineStr">
        <is>
          <t>10,988</t>
        </is>
      </c>
      <c r="D11" s="6" t="inlineStr">
        <is>
          <t>VNDbn</t>
        </is>
      </c>
      <c r="E11" s="6" t="inlineStr">
        <is>
          <t>COMPANY</t>
        </is>
      </c>
      <c r="F11" s="7" t="inlineStr">
        <is>
          <t>Công bố 9T/2025 (+36% CK)</t>
        </is>
      </c>
      <c r="G11" s="7" t="inlineStr"/>
    </row>
    <row r="12">
      <c r="A12" s="6" t="n">
        <v>6</v>
      </c>
      <c r="B12" s="6" t="inlineStr">
        <is>
          <t>PBT FY25</t>
        </is>
      </c>
      <c r="C12" s="6" t="inlineStr">
        <is>
          <t>7,628</t>
        </is>
      </c>
      <c r="D12" s="6" t="inlineStr">
        <is>
          <t>VNDbn</t>
        </is>
      </c>
      <c r="E12" s="6" t="inlineStr">
        <is>
          <t>COMPANY</t>
        </is>
      </c>
      <c r="F12" s="7" t="inlineStr">
        <is>
          <t>KQKD 2025, đạt 52% kế hoạch; trích lập cả năm &gt;11,300 tỷ</t>
        </is>
      </c>
      <c r="G12" s="7" t="inlineStr">
        <is>
          <t>Khớp đúng dòng "Operating profit FY25" trong bảng FY của slide.</t>
        </is>
      </c>
    </row>
    <row r="13">
      <c r="A13" s="6" t="n">
        <v>7</v>
      </c>
      <c r="B13" s="6" t="inlineStr">
        <is>
          <t>PBT 2H25</t>
        </is>
      </c>
      <c r="C13" s="6" t="inlineStr">
        <is>
          <t>297</t>
        </is>
      </c>
      <c r="D13" s="6" t="inlineStr">
        <is>
          <t>VNDbn</t>
        </is>
      </c>
      <c r="E13" s="6" t="inlineStr">
        <is>
          <t>DERIVED</t>
        </is>
      </c>
      <c r="F13" s="7">
        <f> 7,628 - 7,331</f>
        <v/>
      </c>
      <c r="G13" s="7" t="inlineStr">
        <is>
          <t>LUẬN ĐIỂM TRUNG TÂM của bản cập nhật: nền 2H25 gần như bằng không.</t>
        </is>
      </c>
    </row>
    <row r="14">
      <c r="A14" s="6" t="n">
        <v>8</v>
      </c>
      <c r="B14" s="6" t="inlineStr">
        <is>
          <t>PBT 4Q25</t>
        </is>
      </c>
      <c r="C14" s="6" t="inlineStr">
        <is>
          <t>-3,360</t>
        </is>
      </c>
      <c r="D14" s="6" t="inlineStr">
        <is>
          <t>VNDbn</t>
        </is>
      </c>
      <c r="E14" s="6" t="inlineStr">
        <is>
          <t>DERIVED</t>
        </is>
      </c>
      <c r="F14" s="7">
        <f> 7,628 - 10,988</f>
        <v/>
      </c>
      <c r="G14" s="7" t="inlineStr">
        <is>
          <t>Lỗ trước thuế. Khớp với cột trích lập ~9,232 tỷ Q4/25 trong biểu đồ I/S của BC mobile.</t>
        </is>
      </c>
    </row>
    <row r="15">
      <c r="A15" s="6" t="n">
        <v>9</v>
      </c>
      <c r="B15" s="6" t="inlineStr">
        <is>
          <t>2H26 cần đạt</t>
        </is>
      </c>
      <c r="C15" s="6" t="inlineStr">
        <is>
          <t>4,319</t>
        </is>
      </c>
      <c r="D15" s="6" t="inlineStr">
        <is>
          <t>VNDbn</t>
        </is>
      </c>
      <c r="E15" s="6" t="inlineStr">
        <is>
          <t>DERIVED</t>
        </is>
      </c>
      <c r="F15" s="7">
        <f> 8,455 (dự phóng FY26F) - 4,136</f>
        <v/>
      </c>
      <c r="G15" s="7">
        <f> 14.5x nền 2H25 nhưng chỉ +4.4% so với 1H26. Đây là lý do 1H yếu chưa phá dự phóng.</f>
        <v/>
      </c>
    </row>
    <row r="16">
      <c r="B16" s="5" t="inlineStr">
        <is>
          <t>STB — CHẤT LƯỢNG TÀI SẢN 30/06/2026</t>
        </is>
      </c>
    </row>
    <row r="17">
      <c r="A17" s="6" t="n">
        <v>10</v>
      </c>
      <c r="B17" s="6" t="inlineStr">
        <is>
          <t>Tỷ lệ nợ xấu</t>
        </is>
      </c>
      <c r="C17" s="6" t="inlineStr">
        <is>
          <t>7.54</t>
        </is>
      </c>
      <c r="D17" s="6" t="inlineStr">
        <is>
          <t>%</t>
        </is>
      </c>
      <c r="E17" s="6" t="inlineStr">
        <is>
          <t>PRESS</t>
        </is>
      </c>
      <c r="F17" s="7" t="inlineStr">
        <is>
          <t>Cuối Q2/26, +1.13%p so đầu năm, cao nhất hệ thống</t>
        </is>
      </c>
      <c r="G17" s="7" t="inlineStr">
        <is>
          <t>MÂU THUẪN VỚI BẢN TRƯỚC: bản 24/07 ghi "ước ~5.6%, giảm từ 6.62%". Thực tế TĂNG. Cross-check: 6.41% cuối 2025 + 1.13%p = 7.54%, và 6.41% khớp biểu đồ nhóm nợ 4Q25 của BC mobile.</t>
        </is>
      </c>
    </row>
    <row r="18">
      <c r="A18" s="6" t="n">
        <v>11</v>
      </c>
      <c r="B18" s="6" t="inlineStr">
        <is>
          <t>Dư nợ nhóm 3-5</t>
        </is>
      </c>
      <c r="C18" s="6" t="inlineStr">
        <is>
          <t>47,957</t>
        </is>
      </c>
      <c r="D18" s="6" t="inlineStr">
        <is>
          <t>VNDbn</t>
        </is>
      </c>
      <c r="E18" s="6" t="inlineStr">
        <is>
          <t>PRESS</t>
        </is>
      </c>
      <c r="F18" s="7" t="inlineStr">
        <is>
          <t>30/06/2026, +~7,800 tỷ YTD, +~6,500 tỷ QoQ</t>
        </is>
      </c>
      <c r="G18" s="7" t="inlineStr">
        <is>
          <t>Hàm ý tổng dư nợ ~636,000 tỷ.</t>
        </is>
      </c>
    </row>
    <row r="19">
      <c r="A19" s="6" t="n">
        <v>12</v>
      </c>
      <c r="B19" s="6" t="inlineStr">
        <is>
          <t>Nợ nhóm 5</t>
        </is>
      </c>
      <c r="C19" s="6" t="inlineStr">
        <is>
          <t>~32,000 (~67% nợ xấu)</t>
        </is>
      </c>
      <c r="D19" s="6" t="inlineStr">
        <is>
          <t>VNDbn</t>
        </is>
      </c>
      <c r="E19" s="6" t="inlineStr">
        <is>
          <t>PRESS</t>
        </is>
      </c>
      <c r="F19" s="7" t="inlineStr"/>
      <c r="G19" s="7" t="inlineStr">
        <is>
          <t>Nhóm 4 tăng +156%.</t>
        </is>
      </c>
    </row>
    <row r="20">
      <c r="A20" s="6" t="n">
        <v>13</v>
      </c>
      <c r="B20" s="6" t="inlineStr">
        <is>
          <t>Trích lập 1Q26</t>
        </is>
      </c>
      <c r="C20" s="6" t="inlineStr">
        <is>
          <t>2,024</t>
        </is>
      </c>
      <c r="D20" s="6" t="inlineStr">
        <is>
          <t>VNDbn</t>
        </is>
      </c>
      <c r="E20" s="6" t="inlineStr">
        <is>
          <t>COMPANY</t>
        </is>
      </c>
      <c r="F20" s="7" t="inlineStr">
        <is>
          <t>BCTC Q1/2026</t>
        </is>
      </c>
      <c r="G20" s="7" t="inlineStr"/>
    </row>
    <row r="21">
      <c r="A21" s="6" t="n">
        <v>14</v>
      </c>
      <c r="B21" s="6" t="inlineStr">
        <is>
          <t>Trích lập 2Q26</t>
        </is>
      </c>
      <c r="C21" s="6" t="inlineStr">
        <is>
          <t>nặng hơn Q1</t>
        </is>
      </c>
      <c r="D21" s="6" t="inlineStr">
        <is>
          <t>VNDbn</t>
        </is>
      </c>
      <c r="E21" s="6" t="inlineStr">
        <is>
          <t>GAP</t>
        </is>
      </c>
      <c r="F21" s="7" t="inlineStr">
        <is>
          <t>Chưa có con số công bố chắc chắn</t>
        </is>
      </c>
      <c r="G21" s="7" t="inlineStr">
        <is>
          <t>Ước "vượt 4,700 tỷ" chỉ là guidance của CEO trong bản trước — KHÔNG dùng lại. Slide chỉ nói định tính.</t>
        </is>
      </c>
    </row>
    <row r="22">
      <c r="B22" s="5" t="inlineStr">
        <is>
          <t>STB — GIÁ VÀ BẢNG TÓM TẮT</t>
        </is>
      </c>
    </row>
    <row r="23">
      <c r="A23" s="6" t="n">
        <v>15</v>
      </c>
      <c r="B23" s="6" t="inlineStr">
        <is>
          <t>Thị giá</t>
        </is>
      </c>
      <c r="C23" s="6" t="inlineStr">
        <is>
          <t>72,500</t>
        </is>
      </c>
      <c r="D23" s="6" t="inlineStr">
        <is>
          <t>VND/cp</t>
        </is>
      </c>
      <c r="E23" s="6" t="inlineStr">
        <is>
          <t>PRESS</t>
        </is>
      </c>
      <c r="F23" s="7" t="inlineStr">
        <is>
          <t>21/07/2026</t>
        </is>
      </c>
      <c r="G23" s="7" t="inlineStr">
        <is>
          <t>TỪ SNIPPET TÌM KIẾM, KHÔNG PHẢI TERMINAL. Bản trước ghi 71,300 nhưng slide EN đề 05/06/26 còn slide VN đề 16/06/26 — hai ngày khác nhau cho cùng một giá. Đã thống nhất. CẦN CẬP NHẬT TRƯỚC KHI PHÁT HÀNH, nhất là sau KQKD 30/07.</t>
        </is>
      </c>
    </row>
    <row r="24">
      <c r="A24" s="6" t="n">
        <v>16</v>
      </c>
      <c r="B24" s="6" t="inlineStr">
        <is>
          <t>Lợi nhuận kỳ vọng</t>
        </is>
      </c>
      <c r="C24" s="6" t="inlineStr">
        <is>
          <t>+7.3</t>
        </is>
      </c>
      <c r="D24" s="6" t="inlineStr">
        <is>
          <t>%</t>
        </is>
      </c>
      <c r="E24" s="6" t="inlineStr">
        <is>
          <t>DERIVED</t>
        </is>
      </c>
      <c r="F24" s="7">
        <f> 77,800 / 72,500 - 1</f>
        <v/>
      </c>
      <c r="G24" s="7" t="inlineStr"/>
    </row>
    <row r="25">
      <c r="A25" s="6" t="n">
        <v>17</v>
      </c>
      <c r="B25" s="6" t="inlineStr">
        <is>
          <t>NPATMI 26F trong bảng tóm tắt</t>
        </is>
      </c>
      <c r="C25" s="6" t="inlineStr">
        <is>
          <t>6,583</t>
        </is>
      </c>
      <c r="D25" s="6" t="inlineStr">
        <is>
          <t>VNDbn</t>
        </is>
      </c>
      <c r="E25" s="6" t="inlineStr">
        <is>
          <t>MAS</t>
        </is>
      </c>
      <c r="F25" s="7" t="inlineStr">
        <is>
          <t>Stock_Pick...updated.xlsx</t>
        </is>
      </c>
      <c r="G25" s="7" t="inlineStr">
        <is>
          <t>ĐÃ SỬA LỖI: bảng tóm tắt trước ghi 6,263 trong khi bảng FY cùng slide ghi 6,583 — hai số khác nhau trên cùng một trang.</t>
        </is>
      </c>
    </row>
    <row r="26">
      <c r="B26" s="5" t="inlineStr">
        <is>
          <t>FPT — KHÔNG CÓ SỐ MỚI</t>
        </is>
      </c>
    </row>
    <row r="27">
      <c r="A27" s="6" t="n">
        <v>18</v>
      </c>
      <c r="B27" s="6" t="inlineStr">
        <is>
          <t>KQKD 1H26</t>
        </is>
      </c>
      <c r="C27" s="6" t="inlineStr">
        <is>
          <t>đã là số công bố</t>
        </is>
      </c>
      <c r="D27" s="6" t="inlineStr"/>
      <c r="E27" s="6" t="inlineStr">
        <is>
          <t>COMPANY</t>
        </is>
      </c>
      <c r="F27" s="7" t="inlineStr">
        <is>
          <t>Doanh thu 26,269 tỷ (+12.6%), LNTT 5,714 tỷ (+18.1%)</t>
        </is>
      </c>
      <c r="G27" s="7" t="inlineStr">
        <is>
          <t>Không thay đổi. FPT công bố theo tháng, số 7T/2026 dự kiến khoảng 20/08 nên chưa có gì mới sau 24/07.</t>
        </is>
      </c>
    </row>
    <row r="28">
      <c r="A28" s="6" t="n">
        <v>19</v>
      </c>
      <c r="B28" s="6" t="inlineStr">
        <is>
          <t>Khối ngoại bán ròng</t>
        </is>
      </c>
      <c r="C28" s="6" t="inlineStr">
        <is>
          <t>hơn 16,000</t>
        </is>
      </c>
      <c r="D28" s="6" t="inlineStr">
        <is>
          <t>VNDbn</t>
        </is>
      </c>
      <c r="E28" s="6" t="inlineStr">
        <is>
          <t>PRESS</t>
        </is>
      </c>
      <c r="F28" s="7" t="inlineStr">
        <is>
          <t>Lũy kế từ đầu năm 2026</t>
        </is>
      </c>
      <c r="G28" s="7" t="inlineStr">
        <is>
          <t>Đã đổi từ "~16.8 nghìn tỷ" sang "hơn 16 nghìn tỷ" vì nguồn gần nhất ghi 16,500 tỷ mà không rõ ngày chốt — nói "hơn 16" thì đúng với cả hai.</t>
        </is>
      </c>
    </row>
    <row r="29">
      <c r="A29" s="6" t="n">
        <v>20</v>
      </c>
      <c r="B29" s="6" t="inlineStr">
        <is>
          <t>Phiên 15/07</t>
        </is>
      </c>
      <c r="C29" s="6" t="inlineStr">
        <is>
          <t>giảm 5% về 66,800đ, bán ròng 346 tỷ</t>
        </is>
      </c>
      <c r="D29" s="6" t="inlineStr">
        <is>
          <t>VND</t>
        </is>
      </c>
      <c r="E29" s="6" t="inlineStr">
        <is>
          <t>PRESS</t>
        </is>
      </c>
      <c r="F29" s="7" t="inlineStr">
        <is>
          <t>Phiên bán ròng mạnh nhất tháng 7</t>
        </is>
      </c>
      <c r="G29" s="7" t="inlineStr">
        <is>
          <t>Mới thêm vào slide.</t>
        </is>
      </c>
    </row>
    <row r="30">
      <c r="A30" s="6" t="n">
        <v>21</v>
      </c>
      <c r="B30" s="6" t="inlineStr">
        <is>
          <t>Áp lực bán đã dịu</t>
        </is>
      </c>
      <c r="C30" s="6" t="inlineStr">
        <is>
          <t>—</t>
        </is>
      </c>
      <c r="D30" s="6" t="inlineStr"/>
      <c r="E30" s="6" t="inlineStr">
        <is>
          <t>PRESS</t>
        </is>
      </c>
      <c r="F30" s="7" t="inlineStr">
        <is>
          <t>Cuối tháng 7: khối ngoại giảm bán, dòng tiền nội nhập cuộc</t>
        </is>
      </c>
      <c r="G30" s="7" t="inlineStr">
        <is>
          <t>Mới thêm vào slide, chỉ nêu định tính.</t>
        </is>
      </c>
    </row>
    <row r="31">
      <c r="A31" s="6" t="n">
        <v>22</v>
      </c>
      <c r="B31" s="6" t="inlineStr">
        <is>
          <t>Thị giá FPT</t>
        </is>
      </c>
      <c r="C31" s="6" t="inlineStr">
        <is>
          <t>62,900 (24/07/26)</t>
        </is>
      </c>
      <c r="D31" s="6" t="inlineStr">
        <is>
          <t>VND/cp</t>
        </is>
      </c>
      <c r="E31" s="6" t="inlineStr">
        <is>
          <t>MAS</t>
        </is>
      </c>
      <c r="F31" s="7" t="inlineStr">
        <is>
          <t>Giữ nguyên theo bản 24/07</t>
        </is>
      </c>
      <c r="G31" s="7" t="inlineStr">
        <is>
          <t>CHƯA CẬP NHẬT — không lấy được giá mới hơn từ nguồn công khai (FiinQuant chưa authorize).</t>
        </is>
      </c>
    </row>
    <row r="32">
      <c r="B32" s="5" t="inlineStr">
        <is>
          <t>KIỂM TRA SỐ HỌC — tất cả đều đạt</t>
        </is>
      </c>
    </row>
    <row r="33">
      <c r="A33" s="6" t="n">
        <v>23</v>
      </c>
      <c r="B33" s="6" t="inlineStr">
        <is>
          <t>1H26 -43.6% = 4,136/7,331</t>
        </is>
      </c>
      <c r="C33" s="6" t="inlineStr">
        <is>
          <t>đạt</t>
        </is>
      </c>
      <c r="D33" s="6" t="inlineStr"/>
      <c r="E33" s="6" t="inlineStr">
        <is>
          <t>CHECK</t>
        </is>
      </c>
      <c r="F33" s="7" t="inlineStr"/>
      <c r="G33" s="7" t="inlineStr"/>
    </row>
    <row r="34">
      <c r="A34" s="6" t="n">
        <v>24</v>
      </c>
      <c r="B34" s="6" t="inlineStr">
        <is>
          <t>2Q26 2,030 = 4,136-2,106</t>
        </is>
      </c>
      <c r="C34" s="6" t="inlineStr">
        <is>
          <t>đạt</t>
        </is>
      </c>
      <c r="D34" s="6" t="inlineStr"/>
      <c r="E34" s="6" t="inlineStr">
        <is>
          <t>CHECK</t>
        </is>
      </c>
      <c r="F34" s="7" t="inlineStr"/>
      <c r="G34" s="7" t="inlineStr"/>
    </row>
    <row r="35">
      <c r="A35" s="6" t="n">
        <v>25</v>
      </c>
      <c r="B35" s="6" t="inlineStr">
        <is>
          <t>2H25 297 = 7,628-7,331</t>
        </is>
      </c>
      <c r="C35" s="6" t="inlineStr">
        <is>
          <t>đạt</t>
        </is>
      </c>
      <c r="D35" s="6" t="inlineStr"/>
      <c r="E35" s="6" t="inlineStr">
        <is>
          <t>CHECK</t>
        </is>
      </c>
      <c r="F35" s="7" t="inlineStr"/>
      <c r="G35" s="7" t="inlineStr"/>
    </row>
    <row r="36">
      <c r="A36" s="6" t="n">
        <v>26</v>
      </c>
      <c r="B36" s="6" t="inlineStr">
        <is>
          <t>4Q25 -3,360 = 7,628-10,988</t>
        </is>
      </c>
      <c r="C36" s="6" t="inlineStr">
        <is>
          <t>đạt</t>
        </is>
      </c>
      <c r="D36" s="6" t="inlineStr"/>
      <c r="E36" s="6" t="inlineStr">
        <is>
          <t>CHECK</t>
        </is>
      </c>
      <c r="F36" s="7" t="inlineStr"/>
      <c r="G36" s="7" t="inlineStr"/>
    </row>
    <row r="37">
      <c r="A37" s="6" t="n">
        <v>27</v>
      </c>
      <c r="B37" s="6" t="inlineStr">
        <is>
          <t>2H26 4,319 = 8,455-4,136; 14.5x nền; +4.4% QoQ</t>
        </is>
      </c>
      <c r="C37" s="6" t="inlineStr">
        <is>
          <t>đạt</t>
        </is>
      </c>
      <c r="D37" s="6" t="inlineStr"/>
      <c r="E37" s="6" t="inlineStr">
        <is>
          <t>CHECK</t>
        </is>
      </c>
      <c r="F37" s="7" t="inlineStr"/>
      <c r="G37" s="7" t="inlineStr"/>
    </row>
    <row r="38">
      <c r="A38" s="6" t="n">
        <v>28</v>
      </c>
      <c r="B38" s="6" t="inlineStr">
        <is>
          <t>51% kế hoạch = 4,136/8,100</t>
        </is>
      </c>
      <c r="C38" s="6" t="inlineStr">
        <is>
          <t>đạt</t>
        </is>
      </c>
      <c r="D38" s="6" t="inlineStr"/>
      <c r="E38" s="6" t="inlineStr">
        <is>
          <t>CHECK</t>
        </is>
      </c>
      <c r="F38" s="7" t="inlineStr"/>
      <c r="G38" s="7" t="inlineStr"/>
    </row>
    <row r="39">
      <c r="A39" s="6" t="n">
        <v>29</v>
      </c>
      <c r="B39" s="6" t="inlineStr">
        <is>
          <t>Nhóm 5 67% = 32,000/47,957</t>
        </is>
      </c>
      <c r="C39" s="6" t="inlineStr">
        <is>
          <t>đạt</t>
        </is>
      </c>
      <c r="D39" s="6" t="inlineStr"/>
      <c r="E39" s="6" t="inlineStr">
        <is>
          <t>CHECK</t>
        </is>
      </c>
      <c r="F39" s="7" t="inlineStr"/>
      <c r="G39" s="7" t="inlineStr"/>
    </row>
    <row r="40">
      <c r="A40" s="6" t="n">
        <v>30</v>
      </c>
      <c r="B40" s="6" t="inlineStr">
        <is>
          <t>TP 2.4x P/B = 77,800/32,281</t>
        </is>
      </c>
      <c r="C40" s="6" t="inlineStr">
        <is>
          <t>đạt</t>
        </is>
      </c>
      <c r="D40" s="6" t="inlineStr"/>
      <c r="E40" s="6" t="inlineStr">
        <is>
          <t>CHECK</t>
        </is>
      </c>
      <c r="F40" s="7" t="inlineStr"/>
      <c r="G40" s="7" t="inlineStr"/>
    </row>
    <row r="41">
      <c r="A41" s="6" t="n">
        <v>31</v>
      </c>
      <c r="B41" s="6" t="inlineStr">
        <is>
          <t>FPT 10.4x = 62,900/6,046</t>
        </is>
      </c>
      <c r="C41" s="6" t="inlineStr">
        <is>
          <t>đạt</t>
        </is>
      </c>
      <c r="D41" s="6" t="inlineStr"/>
      <c r="E41" s="6" t="inlineStr">
        <is>
          <t>CHECK</t>
        </is>
      </c>
      <c r="F41" s="7" t="inlineStr"/>
      <c r="G41" s="7" t="inlineStr"/>
    </row>
    <row r="42">
      <c r="A42" s="6" t="n">
        <v>32</v>
      </c>
      <c r="B42" s="6" t="inlineStr">
        <is>
          <t>FPT +25% = 78,750/62,900</t>
        </is>
      </c>
      <c r="C42" s="6" t="inlineStr">
        <is>
          <t>đạt</t>
        </is>
      </c>
      <c r="D42" s="6" t="inlineStr"/>
      <c r="E42" s="6" t="inlineStr">
        <is>
          <t>CHECK</t>
        </is>
      </c>
      <c r="F42" s="7" t="inlineStr"/>
      <c r="G42" s="7" t="inlineStr"/>
    </row>
    <row r="43">
      <c r="A43" s="6" t="n">
        <v>33</v>
      </c>
      <c r="B43" s="6" t="inlineStr">
        <is>
          <t>FPT PBT 13,069 -&gt; NPATMI 10,943</t>
        </is>
      </c>
      <c r="C43" s="6" t="inlineStr">
        <is>
          <t>đạt</t>
        </is>
      </c>
      <c r="D43" s="6" t="inlineStr"/>
      <c r="E43" s="6" t="inlineStr">
        <is>
          <t>CHECK</t>
        </is>
      </c>
      <c r="F43" s="7" t="inlineStr"/>
      <c r="G43" s="7" t="inlineStr"/>
    </row>
    <row r="44">
      <c r="B44" s="5" t="inlineStr">
        <is>
          <t>CÒN TỒN — cần quyết</t>
        </is>
      </c>
    </row>
    <row r="45">
      <c r="A45" s="6" t="n">
        <v>34</v>
      </c>
      <c r="B45" s="6" t="inlineStr">
        <is>
          <t>G1 Xếp hạng và giá mục tiêu STB</t>
        </is>
      </c>
      <c r="C45" s="6" t="inlineStr">
        <is>
          <t>NẮM GIỮ / 77,800</t>
        </is>
      </c>
      <c r="D45" s="6" t="inlineStr"/>
      <c r="E45" s="6" t="inlineStr">
        <is>
          <t>GAP</t>
        </is>
      </c>
      <c r="F45" s="7" t="inlineStr"/>
      <c r="G45" s="7" t="inlineStr">
        <is>
          <t>TP 77,800 tương đương 2.4x P/B FY26F cho ngân hàng có nợ xấu cao nhất hệ thống (7.54%). Slide đã ghi "đang rà soát" chứ chưa đổi — đây là quyết định của anh.</t>
        </is>
      </c>
    </row>
    <row r="46">
      <c r="A46" s="6" t="n">
        <v>35</v>
      </c>
      <c r="B46" s="6" t="inlineStr">
        <is>
          <t>G2 Giả định nợ xấu FY26F</t>
        </is>
      </c>
      <c r="C46" s="6" t="inlineStr">
        <is>
          <t>dưới 4.5%</t>
        </is>
      </c>
      <c r="D46" s="6" t="inlineStr"/>
      <c r="E46" s="6" t="inlineStr">
        <is>
          <t>GAP</t>
        </is>
      </c>
      <c r="F46" s="7" t="inlineStr"/>
      <c r="G46" s="7" t="inlineStr">
        <is>
          <t>Không còn khả thi khi giữa năm ở 7.54%. Mô hình chưa sửa.</t>
        </is>
      </c>
    </row>
    <row r="47">
      <c r="A47" s="6" t="n">
        <v>36</v>
      </c>
      <c r="B47" s="6" t="inlineStr">
        <is>
          <t>G3 Chi phí dự phòng FY26F</t>
        </is>
      </c>
      <c r="C47" s="6" t="inlineStr">
        <is>
          <t>10.4 nghìn tỷ (-8.9%)</t>
        </is>
      </c>
      <c r="D47" s="6" t="inlineStr"/>
      <c r="E47" s="6" t="inlineStr">
        <is>
          <t>GAP</t>
        </is>
      </c>
      <c r="F47" s="7" t="inlineStr"/>
      <c r="G47" s="7" t="inlineStr">
        <is>
          <t>Có vẻ thấp so với thực tế 1H26. Mô hình chưa sửa.</t>
        </is>
      </c>
    </row>
    <row r="48">
      <c r="A48" s="6" t="n">
        <v>37</v>
      </c>
      <c r="B48" s="6" t="inlineStr">
        <is>
          <t>G4 Hiệu suất giá 1T/6T/12T</t>
        </is>
      </c>
      <c r="C48" s="6" t="inlineStr">
        <is>
          <t>9.5 / 28.3 / 68.6</t>
        </is>
      </c>
      <c r="D48" s="6" t="inlineStr">
        <is>
          <t>%</t>
        </is>
      </c>
      <c r="E48" s="6" t="inlineStr">
        <is>
          <t>GAP</t>
        </is>
      </c>
      <c r="F48" s="7" t="inlineStr"/>
      <c r="G48" s="7" t="inlineStr">
        <is>
          <t>Chưa cập nhật được, không có dữ liệu thị trường.</t>
        </is>
      </c>
    </row>
    <row r="49">
      <c r="A49" s="6" t="n">
        <v>38</v>
      </c>
      <c r="B49" s="6" t="inlineStr">
        <is>
          <t>G5 Biểu đồ giá và logo FPT</t>
        </is>
      </c>
      <c r="C49" s="6" t="inlineStr">
        <is>
          <t>placeholder</t>
        </is>
      </c>
      <c r="D49" s="6" t="inlineStr"/>
      <c r="E49" s="6" t="inlineStr">
        <is>
          <t>GAP</t>
        </is>
      </c>
      <c r="F49" s="7" t="inlineStr"/>
      <c r="G49" s="7" t="inlineStr">
        <is>
          <t>Vẫn là chỗ trống chờ export từ FiinPro.</t>
        </is>
      </c>
    </row>
    <row r="50">
      <c r="A50" s="6" t="n">
        <v>39</v>
      </c>
      <c r="B50" s="6" t="inlineStr">
        <is>
          <t>G6 Ghi chú hợp nhất FPT Telecom</t>
        </is>
      </c>
      <c r="C50" s="6" t="inlineStr">
        <is>
          <t>giữ nguyên</t>
        </is>
      </c>
      <c r="D50" s="6" t="inlineStr"/>
      <c r="E50" s="6" t="inlineStr">
        <is>
          <t>GAP</t>
        </is>
      </c>
      <c r="F50" s="7" t="inlineStr"/>
      <c r="G50" s="7" t="inlineStr">
        <is>
          <t>Quản lý từng yêu cầu bỏ phần deconsolidation. Ghi chú vẫn còn vì nếu bỏ thì chuỗi doanh thu FY25 70,208 -&gt; FY26F 57,284 không giải thích được. Cần anh xác nhận cách xử lý.</t>
        </is>
      </c>
    </row>
    <row r="51">
      <c r="A51" s="6" t="n">
        <v>40</v>
      </c>
      <c r="B51" s="6" t="inlineStr">
        <is>
          <t>G7 ROE trong bảng FY của FPT</t>
        </is>
      </c>
      <c r="C51" s="6" t="inlineStr">
        <is>
          <t>27.5% FY26F</t>
        </is>
      </c>
      <c r="D51" s="6" t="inlineStr"/>
      <c r="E51" s="6" t="inlineStr">
        <is>
          <t>GAP</t>
        </is>
      </c>
      <c r="F51" s="7" t="inlineStr"/>
      <c r="G51" s="7" t="inlineStr">
        <is>
          <t>Không tái lập được: 10,943/VCSH cuối kỳ 50,157 = 21.8%, /VCSH bình quân = 23.3%. STB thì tính trên VCSH cuối kỳ (9.9% khớp). Hai bảng dùng cơ sở khác nhau.</t>
        </is>
      </c>
    </row>
    <row r="52">
      <c r="A52" s="6" t="n">
        <v>41</v>
      </c>
      <c r="B52" s="6" t="inlineStr">
        <is>
          <t>G8 Không QA được bố cục</t>
        </is>
      </c>
      <c r="C52" s="6" t="inlineStr">
        <is>
          <t>—</t>
        </is>
      </c>
      <c r="D52" s="6" t="inlineStr"/>
      <c r="E52" s="6" t="inlineStr">
        <is>
          <t>GAP</t>
        </is>
      </c>
      <c r="F52" s="7" t="inlineStr"/>
      <c r="G52" s="7" t="inlineStr">
        <is>
          <t>LibreOffice trong môi trường này không mở được file Office. Chỉ kiểm tra được nội dung và số liệu qua XML.</t>
        </is>
      </c>
    </row>
    <row r="54">
      <c r="B54" s="5" t="inlineStr">
        <is>
          <t>VĂN PHONG — chuẩn theo báo cáo mẫu của MAS</t>
        </is>
      </c>
    </row>
    <row r="55">
      <c r="A55" s="6" t="n">
        <v>1</v>
      </c>
      <c r="B55" s="6" t="inlineStr">
        <is>
          <t>Tài liệu tham chiếu</t>
        </is>
      </c>
      <c r="C55" s="6" t="inlineStr">
        <is>
          <t>Stock recommendation_Sep 2023_MAS_ed_FPT_231206.pptx</t>
        </is>
      </c>
      <c r="D55" s="6" t="inlineStr"/>
      <c r="E55" s="6" t="inlineStr">
        <is>
          <t>Drive</t>
        </is>
      </c>
      <c r="F55" s="7" t="inlineStr">
        <is>
          <t>Google Drive, id 1wojjO5BQxFz7EGWc4giljFXwmpYvboia</t>
        </is>
      </c>
      <c r="G55" s="7" t="inlineStr">
        <is>
          <t>Chính là bản tiền thân của template đang dùng: cùng bảng, cùng mục "Investment points", cùng dòng ký tên chuyên viên. Có sẵn trang ngân hàng (MBB) để đối chiếu văn phong cho STB.</t>
        </is>
      </c>
    </row>
    <row r="56">
      <c r="A56" s="6" t="n">
        <v>2</v>
      </c>
      <c r="B56" s="6" t="inlineStr">
        <is>
          <t>Quy ước 1 — nhãn mục</t>
        </is>
      </c>
      <c r="C56" s="6" t="inlineStr">
        <is>
          <t>nêu kết luận, kết thúc bằng dấu hai chấm</t>
        </is>
      </c>
      <c r="D56" s="6" t="inlineStr"/>
      <c r="E56" s="6" t="inlineStr">
        <is>
          <t>FORMAT</t>
        </is>
      </c>
      <c r="F56" s="7" t="inlineStr">
        <is>
          <t>Mẫu: "NIM likely to slightly improve in 2024:", "Stronger than industry credit growth:", "NPL has seen deterioration, but MB's NPL is still low:"</t>
        </is>
      </c>
      <c r="G56" s="7" t="inlineStr">
        <is>
          <t>Đã áp dụng: "1H26 results came in below expectations:", "Asset quality has deteriorated beyond management guidance:", "FY26F PBT remains attainable on a low 2H25 base:"</t>
        </is>
      </c>
    </row>
    <row r="57">
      <c r="A57" s="6" t="n">
        <v>3</v>
      </c>
      <c r="B57" s="6" t="inlineStr">
        <is>
          <t>Quy ước 2 — giọng văn</t>
        </is>
      </c>
      <c r="C57" s="6" t="inlineStr">
        <is>
          <t>trần thuật, phi cá nhân</t>
        </is>
      </c>
      <c r="D57" s="6" t="inlineStr"/>
      <c r="E57" s="6" t="inlineStr">
        <is>
          <t>FORMAT</t>
        </is>
      </c>
      <c r="F57" s="7" t="inlineStr">
        <is>
          <t>Mẫu: "The asset quality has declined but remains better than the industry average."</t>
        </is>
      </c>
      <c r="G57" s="7" t="inlineStr">
        <is>
          <t>Đã bỏ các cách nói báo chí: swamp / moved the wrong way / swing factor / Why the stock sits at / newsflow has run the other way / stepped in; và bào mòn / đi ngược kỳ vọng / biến số quyết định / làm hỏng / gánh phần / nhập cuộc.</t>
        </is>
      </c>
    </row>
    <row r="58">
      <c r="A58" s="6" t="n">
        <v>4</v>
      </c>
      <c r="B58" s="6" t="inlineStr">
        <is>
          <t>Quy ước 3 — mục Risks</t>
        </is>
      </c>
      <c r="C58" s="6" t="inlineStr">
        <is>
          <t>đánh số (1) (2) (3) ở cuối trang</t>
        </is>
      </c>
      <c r="D58" s="6" t="inlineStr"/>
      <c r="E58" s="6" t="inlineStr">
        <is>
          <t>FORMAT</t>
        </is>
      </c>
      <c r="F58" s="7" t="inlineStr">
        <is>
          <t>Mẫu: "Risks: (1) ... (2) lackluster demand for credit"</t>
        </is>
      </c>
      <c r="G58" s="7" t="inlineStr">
        <is>
          <t>Đã thêm dòng Rủi ro đánh số vào cả hai trang STB (trước đây không có) và chuyển dòng rủi ro của FPT sang dạng đánh số.</t>
        </is>
      </c>
    </row>
    <row r="59">
      <c r="A59" s="6" t="n">
        <v>5</v>
      </c>
      <c r="B59" s="6" t="inlineStr">
        <is>
          <t>Quy ước 4 — tiêu đề trang</t>
        </is>
      </c>
      <c r="C59" s="6" t="inlineStr">
        <is>
          <t>cụm ngắn, có thể hình ảnh hóa vừa phải</t>
        </is>
      </c>
      <c r="D59" s="6" t="inlineStr"/>
      <c r="E59" s="6" t="inlineStr">
        <is>
          <t>FORMAT</t>
        </is>
      </c>
      <c r="F59" s="7" t="inlineStr">
        <is>
          <t>Mẫu cấp báo cáo: "Riding a wave of transformation"</t>
        </is>
      </c>
      <c r="G59" s="7" t="inlineStr">
        <is>
          <t>Tiêu đề STB đổi từ "Provisions swamp 1H..." sang "Asset quality deteriorates; provisioning to stay elevated" / "Chất lượng tài sản suy giảm, áp lực dự phòng còn kéo dài".</t>
        </is>
      </c>
    </row>
    <row r="60">
      <c r="A60" s="6" t="n">
        <v>6</v>
      </c>
      <c r="B60" s="6" t="inlineStr">
        <is>
          <t>Kiểm tra tự động</t>
        </is>
      </c>
      <c r="C60" s="6" t="inlineStr">
        <is>
          <t>13/13 phép tính đạt, không còn cụm thân mật</t>
        </is>
      </c>
      <c r="D60" s="6" t="inlineStr"/>
      <c r="E60" s="6" t="inlineStr">
        <is>
          <t>CHECK</t>
        </is>
      </c>
      <c r="F60" s="7" t="inlineStr"/>
      <c r="G60" s="7" t="inlineStr">
        <is>
          <t>Số liệu không đổi sau khi sửa văn phong — chỉ thay cách diễn đạt.</t>
        </is>
      </c>
    </row>
    <row r="62">
      <c r="B62" s="5" t="inlineStr">
        <is>
          <t>FPT — TRANH LUẬN VỀ AI (nội dung mở rộng +15%)</t>
        </is>
      </c>
    </row>
    <row r="63">
      <c r="A63" s="6" t="n">
        <v>1</v>
      </c>
      <c r="B63" s="6" t="inlineStr">
        <is>
          <t>Infosys — doanh thu AI</t>
        </is>
      </c>
      <c r="C63" s="6" t="inlineStr">
        <is>
          <t>8.2% doanh số Q1 FY27</t>
        </is>
      </c>
      <c r="D63" s="6" t="inlineStr">
        <is>
          <t>%</t>
        </is>
      </c>
      <c r="E63" s="6" t="inlineStr">
        <is>
          <t>PRESS/COMPANY</t>
        </is>
      </c>
      <c r="F63" s="7" t="inlineStr">
        <is>
          <t>Công bố KQKD Q1 FY27, 22-23/07/2026; doanh thu Q1 5,082 triệu USD (+2.4% CK, +1.0% QoQ theo tỷ giá cố định)</t>
        </is>
      </c>
      <c r="G63" s="7" t="inlineStr">
        <is>
          <t>Số then chốt cho lập luận "AI thay thế chứ không cộng thêm": AI đã chiếm 8.2% doanh thu mà tổng doanh thu vẫn chỉ tăng 2-3%.</t>
        </is>
      </c>
    </row>
    <row r="64">
      <c r="A64" s="6" t="n">
        <v>2</v>
      </c>
      <c r="B64" s="6" t="inlineStr">
        <is>
          <t>Infosys — dự báo FY27</t>
        </is>
      </c>
      <c r="C64" s="6" t="inlineStr">
        <is>
          <t>1.5-3.0% theo tỷ giá cố định</t>
        </is>
      </c>
      <c r="D64" s="6" t="inlineStr">
        <is>
          <t>%</t>
        </is>
      </c>
      <c r="E64" s="6" t="inlineStr">
        <is>
          <t>COMPANY</t>
        </is>
      </c>
      <c r="F64" s="7" t="inlineStr">
        <is>
          <t>Hạ từ khoảng 1.5-3.5%; biên LNHĐ giữ 20-22%</t>
        </is>
      </c>
      <c r="G64" s="7" t="inlineStr">
        <is>
          <t>Đã dùng đúng con số sau khi hạ (1.5-3.0%), không dùng bản cũ.</t>
        </is>
      </c>
    </row>
    <row r="65">
      <c r="A65" s="6" t="n">
        <v>3</v>
      </c>
      <c r="B65" s="6" t="inlineStr">
        <is>
          <t>TCS — tăng trưởng Q1 FY27</t>
        </is>
      </c>
      <c r="C65" s="6" t="inlineStr">
        <is>
          <t>+3.2% CK theo tỷ giá cố định</t>
        </is>
      </c>
      <c r="D65" s="6" t="inlineStr">
        <is>
          <t>%</t>
        </is>
      </c>
      <c r="E65" s="6" t="inlineStr">
        <is>
          <t>COMPANY</t>
        </is>
      </c>
      <c r="F65" s="7" t="inlineStr">
        <is>
          <t>Doanh thu 7,624 triệu USD, +2.7% CK theo USD; +0.4% QoQ theo tỷ giá cố định</t>
        </is>
      </c>
      <c r="G65" s="7" t="inlineStr">
        <is>
          <t>Dùng số theo tỷ giá cố định cho nhất quán với Infosys.</t>
        </is>
      </c>
    </row>
    <row r="66">
      <c r="A66" s="6" t="n">
        <v>4</v>
      </c>
      <c r="B66" s="6" t="inlineStr">
        <is>
          <t>TCS — tuyển ròng Q1 FY27</t>
        </is>
      </c>
      <c r="C66" s="6" t="inlineStr">
        <is>
          <t>9,279 nhân sự</t>
        </is>
      </c>
      <c r="D66" s="6" t="inlineStr">
        <is>
          <t>người</t>
        </is>
      </c>
      <c r="E66" s="6" t="inlineStr">
        <is>
          <t>COMPANY</t>
        </is>
      </c>
      <c r="F66" s="7" t="inlineStr">
        <is>
          <t>Nhân sự tăng từ 584,519 lên 593,798</t>
        </is>
      </c>
      <c r="G66" s="7" t="inlineStr">
        <is>
          <t>Số cho lập luận ngược lại (AI vẫn bổ sung nhu cầu). 593,798 - 584,519 = 9,279, khớp.</t>
        </is>
      </c>
    </row>
    <row r="67">
      <c r="A67" s="6" t="n">
        <v>5</v>
      </c>
      <c r="B67" s="6" t="inlineStr">
        <is>
          <t>FPT — CNTT nước ngoài 6T26</t>
        </is>
      </c>
      <c r="C67" s="6" t="inlineStr">
        <is>
          <t>+13.4% CK</t>
        </is>
      </c>
      <c r="D67" s="6" t="inlineStr">
        <is>
          <t>%</t>
        </is>
      </c>
      <c r="E67" s="6" t="inlineStr">
        <is>
          <t>COMPANY</t>
        </is>
      </c>
      <c r="F67" s="7" t="inlineStr">
        <is>
          <t>Đã có sẵn trong bản trước</t>
        </is>
      </c>
      <c r="G67" s="7" t="inlineStr">
        <is>
          <t>So sánh trực tiếp với 2-3% của nhóm Ấn Độ — đây là điểm đối chiếu mạnh nhất và đều lấy từ công bố chính thức của các bên.</t>
        </is>
      </c>
    </row>
    <row r="68">
      <c r="A68" s="6" t="n">
        <v>6</v>
      </c>
      <c r="B68" s="6" t="inlineStr">
        <is>
          <t>MAS — cách phản ánh rủi ro AI</t>
        </is>
      </c>
      <c r="C68" s="6" t="inlineStr">
        <is>
          <t>ERP 7.8% -&gt; 8.9%; g dài hạn 2.5% -&gt; 1.5%</t>
        </is>
      </c>
      <c r="D68" s="6" t="inlineStr"/>
      <c r="E68" s="6" t="inlineStr">
        <is>
          <t>MAS</t>
        </is>
      </c>
      <c r="F68" s="7" t="inlineStr">
        <is>
          <t>Stock_Pick...updated.xlsx, ô Valuation của FPT: "higher discount rate and lower long-term growth to reflect the risk that AI lowers prices for IT services"</t>
        </is>
      </c>
      <c r="G68" s="7" t="inlineStr">
        <is>
          <t>ĐÃ CÓ TRONG MÔ HÌNH NHƯNG TRƯỚC ĐÂY KHÔNG XUẤT HIỆN TRÊN SLIDE. Nay nêu rõ: giá mục tiêu hạ từ 91,570 xuống 78,750 chính là cách chúng tôi định giá rủi ro AI.</t>
        </is>
      </c>
    </row>
    <row r="69">
      <c r="A69" s="6" t="n">
        <v>7</v>
      </c>
      <c r="B69" s="6" t="inlineStr">
        <is>
          <t>Nguồn bị loại</t>
        </is>
      </c>
      <c r="C69" s="6" t="inlineStr">
        <is>
          <t>các blog tư vấn outsourcing</t>
        </is>
      </c>
      <c r="D69" s="6" t="inlineStr"/>
      <c r="E69" s="6" t="inlineStr">
        <is>
          <t>REJECTED</t>
        </is>
      </c>
      <c r="F69" s="7" t="inlineStr">
        <is>
          <t>Một số kết quả tìm kiếm là bài marketing của công ty tư vấn/BPO</t>
        </is>
      </c>
      <c r="G69" s="7" t="inlineStr">
        <is>
          <t>KHÔNG dùng, theo quy tắc đã đặt sau vụ website bán hàng của VRE. Chỉ giữ số từ công bố KQKD của Infosys và TCS.</t>
        </is>
      </c>
    </row>
    <row r="70">
      <c r="A70" s="6" t="n">
        <v>8</v>
      </c>
      <c r="B70" s="6" t="inlineStr">
        <is>
          <t>Độ dài</t>
        </is>
      </c>
      <c r="C70" s="6" t="inlineStr">
        <is>
          <t>EN +15.8%, VN +14.9%</t>
        </is>
      </c>
      <c r="D70" s="6" t="inlineStr">
        <is>
          <t>%</t>
        </is>
      </c>
      <c r="E70" s="6" t="inlineStr">
        <is>
          <t>CHECK</t>
        </is>
      </c>
      <c r="F70" s="7" t="inlineStr">
        <is>
          <t>So với bản đã gửi lượt trước (3,056 và 2,994 ký tự)</t>
        </is>
      </c>
      <c r="G70" s="7" t="inlineStr">
        <is>
          <t>Bù lại bằng cách rút gọn phần diễn biến giá và danh sách hợp đồng, giữ nguyên hai đoạn KQKD.</t>
        </is>
      </c>
    </row>
    <row r="71">
      <c r="A71" s="6" t="inlineStr"/>
      <c r="B71" s="6" t="inlineStr">
        <is>
          <t>Độ dài đoạn AI (sửa lần 2)</t>
        </is>
      </c>
      <c r="C71" s="6" t="inlineStr">
        <is>
          <t>EN 100 từ / VN 125 từ</t>
        </is>
      </c>
      <c r="D71" s="6" t="inlineStr"/>
      <c r="E71" s="6" t="inlineStr">
        <is>
          <t>CHECK</t>
        </is>
      </c>
      <c r="F71" s="7" t="inlineStr"/>
      <c r="G71" s="7" t="inlineStr">
        <is>
          <t>Yêu cầu 50-100 từ. Tiếng Việt đơn âm nên cùng một nội dung đếm ra nhiều từ hơn khoảng 25%; đây là bản dịch sát của đoạn tiếng Anh 100 từ.</t>
        </is>
      </c>
    </row>
    <row r="72">
      <c r="A72" s="6" t="inlineStr"/>
      <c r="B72" s="6" t="inlineStr">
        <is>
          <t>Tổng độ dài trang FPT</t>
        </is>
      </c>
      <c r="C72" s="6" t="inlineStr">
        <is>
          <t>EN -2.0% / VN -3.1% so với bản trước</t>
        </is>
      </c>
      <c r="D72" s="6" t="inlineStr"/>
      <c r="E72" s="6" t="inlineStr">
        <is>
          <t>CHECK</t>
        </is>
      </c>
      <c r="F72" s="7" t="inlineStr"/>
      <c r="G72" s="7" t="inlineStr">
        <is>
          <t>Không còn tăng +15% như lượt trước. Đoạn AI thay chỗ cho phần mô tả diễn biến giá và danh sách hợp đồng, nên trang gần như giữ nguyên độ dài.</t>
        </is>
      </c>
    </row>
    <row r="73">
      <c r="A73" s="6" t="inlineStr"/>
      <c r="B73" s="6" t="inlineStr">
        <is>
          <t>Chi tiết CNTT nước ngoài</t>
        </is>
      </c>
      <c r="C73" s="6" t="inlineStr">
        <is>
          <t>chuyển từ đoạn AI sang đoạn phân khúc</t>
        </is>
      </c>
      <c r="D73" s="6" t="inlineStr"/>
      <c r="E73" s="6" t="inlineStr">
        <is>
          <t>CHECK</t>
        </is>
      </c>
      <c r="F73" s="7" t="inlineStr"/>
      <c r="G73" s="7" t="inlineStr">
        <is>
          <t>+16.7% FY27F, Nhật +22%/+23%, châu Âu +18%/+20%, Mỹ +5.9% nay nằm ở đoạn 2 để đoạn AI chỉ còn phần tranh luận. Không mất số nào.</t>
        </is>
      </c>
    </row>
    <row r="74">
      <c r="A74" s="6" t="inlineStr"/>
      <c r="B74" s="6" t="inlineStr">
        <is>
          <t>Đoạn AI (sửa lần 3)</t>
        </is>
      </c>
      <c r="C74" s="6" t="inlineStr">
        <is>
          <t>EN 23 từ / VN 36 từ</t>
        </is>
      </c>
      <c r="D74" s="6" t="inlineStr"/>
      <c r="E74" s="6" t="inlineStr">
        <is>
          <t>CHECK</t>
        </is>
      </c>
      <c r="F74" s="7" t="inlineStr"/>
      <c r="G74" s="7" t="inlineStr">
        <is>
          <t>Rút 77 từ so với bản 100 từ. Chỉ giữ: bản chất tranh luận (mở rộng nhu cầu hay thu hẹp định giá theo nhân sự) + một cặp số đối chiếu Infosys 1.5-3.0% vs FPT +13.4%.</t>
        </is>
      </c>
    </row>
    <row r="75">
      <c r="A75" s="6" t="inlineStr"/>
      <c r="B75" s="6" t="inlineStr">
        <is>
          <t>Số liệu đã bỏ khỏi trang</t>
        </is>
      </c>
      <c r="C75" s="6" t="inlineStr">
        <is>
          <t>TCS 3.2% và tuyển ròng 9,279; Infosys AI 8.2% doanh thu; 114 nghìn tỷ vốn hóa; rời Top 10; đáy từ 10/2023; bán ròng &gt;16 nghìn tỷ</t>
        </is>
      </c>
      <c r="D75" s="6" t="inlineStr"/>
      <c r="E75" s="6" t="inlineStr">
        <is>
          <t>CHECK</t>
        </is>
      </c>
      <c r="F75" s="7" t="inlineStr"/>
      <c r="G75" s="7" t="inlineStr">
        <is>
          <t>Vẫn lưu ở sheet này để dùng lại nếu cần. Riêng "giảm 40% từ đầu năm do khối ngoại bán ròng mạnh" được giữ lại một mệnh đề trong đoạn định giá vì tiêu đề trang khẳng định "định giá về đáy 2 năm" — nếu bỏ hết thì tiêu đề không còn căn cứ trên trang.</t>
        </is>
      </c>
    </row>
    <row r="76">
      <c r="A76" s="6" t="inlineStr"/>
      <c r="B76" s="6" t="inlineStr">
        <is>
          <t>Tổng độ dài trang FPT</t>
        </is>
      </c>
      <c r="C76" s="6" t="inlineStr">
        <is>
          <t>-15.1% so với bản trước khi mở rộng</t>
        </is>
      </c>
      <c r="D76" s="6" t="inlineStr"/>
      <c r="E76" s="6" t="inlineStr">
        <is>
          <t>CHECK</t>
        </is>
      </c>
      <c r="F76" s="7" t="inlineStr"/>
      <c r="G76" s="7" t="inlineStr">
        <is>
          <t>Trang FPT giờ ngắn hơn cả bản gốc, do đoạn diễn biến giá cũ đã bị thay bằng đoạn AI 23 từ.</t>
        </is>
      </c>
    </row>
    <row r="78">
      <c r="B78" s="5" t="inlineStr">
        <is>
          <t>FPT — NÂNG DỰ PHÓNG NPATMI VÀO DẢI 15-18%</t>
        </is>
      </c>
    </row>
    <row r="79">
      <c r="A79" s="6" t="n">
        <v>1</v>
      </c>
      <c r="B79" s="6" t="inlineStr">
        <is>
          <t>Lộ trình mới</t>
        </is>
      </c>
      <c r="C79" s="6" t="inlineStr">
        <is>
          <t>FY26F +15.6% / FY27F +16.0% / FY28F +16.5%</t>
        </is>
      </c>
      <c r="D79" s="6" t="inlineStr"/>
      <c r="E79" s="6" t="inlineStr">
        <is>
          <t>MAS</t>
        </is>
      </c>
      <c r="F79" s="7" t="inlineStr">
        <is>
          <t>FY26F giữ nguyên 10,943 tỷ (neo theo KQKD 1H26 đã công bố); FY27F 12,692; FY28F 14,787</t>
        </is>
      </c>
      <c r="G79" s="7" t="inlineStr">
        <is>
          <t>Cũ: +15.6% / +14.4% / +13.1% — hai năm sau nằm dưới sàn 15%.</t>
        </is>
      </c>
    </row>
    <row r="80">
      <c r="A80" s="6" t="n">
        <v>2</v>
      </c>
      <c r="B80" s="6" t="inlineStr">
        <is>
          <t>Đòn bẩy được dùng</t>
        </is>
      </c>
      <c r="C80" s="6" t="inlineStr">
        <is>
          <t>SG&amp;A/doanh thu 17.60% -&gt; 17.12% -&gt; 16.45%</t>
        </is>
      </c>
      <c r="D80" s="6" t="inlineStr"/>
      <c r="E80" s="6" t="inlineStr">
        <is>
          <t>MAS</t>
        </is>
      </c>
      <c r="F80" s="7" t="inlineStr">
        <is>
          <t>PL!R19 0.079-&gt;0.0762; PL!S19 0.079-&gt;0.0715; PL!S20 công thức 9.5%-&gt;9.3%</t>
        </is>
      </c>
      <c r="G80" s="7" t="inlineStr">
        <is>
          <t>DOANH THU VÀ BIÊN GỘP GIỮ NGUYÊN. Không đụng tới tăng trưởng mảng, nên các con số +16.7% CNTT nước ngoài FY27F, Mỹ +5.9%, Nhật +22%/+23% trên slide vẫn đúng.</t>
        </is>
      </c>
    </row>
    <row r="81">
      <c r="A81" s="6" t="n">
        <v>3</v>
      </c>
      <c r="B81" s="6" t="inlineStr">
        <is>
          <t>Vì sao không dùng doanh thu</t>
        </is>
      </c>
      <c r="C81" s="6" t="inlineStr">
        <is>
          <t>—</t>
        </is>
      </c>
      <c r="D81" s="6" t="inlineStr"/>
      <c r="E81" s="6" t="inlineStr">
        <is>
          <t>MAS</t>
        </is>
      </c>
      <c r="F81" s="7" t="inlineStr"/>
      <c r="G81" s="7" t="inlineStr">
        <is>
          <t>Nếu giữ nguyên cơ cấu biên thì để đạt NPATMI +16.5% năm FY28 cần doanh thu tăng ~20%, tức CNTT trong nước phải trên 25%/năm — không thuyết phục. Cắt SG&amp;A 115bp trong hai năm là giả định đòn bẩy hoạt động bình thường với doanh nghiệp tăng doanh thu ~16%/năm.</t>
        </is>
      </c>
    </row>
    <row r="82">
      <c r="A82" s="6" t="n">
        <v>4</v>
      </c>
      <c r="B82" s="6" t="inlineStr">
        <is>
          <t>Quan hệ đã kiểm chứng</t>
        </is>
      </c>
      <c r="C82" s="6" t="inlineStr">
        <is>
          <t>NPATMI = LNTT x 0.83733</t>
        </is>
      </c>
      <c r="D82" s="6" t="inlineStr"/>
      <c r="E82" s="6" t="inlineStr">
        <is>
          <t>MODEL</t>
        </is>
      </c>
      <c r="F82" s="7" t="inlineStr">
        <is>
          <t>PL: thuế 15%, MI = (P54/P53)/11 = 1.4906%; kiểm lại FY26 13,069 x 0.83733 = 10,943 khớp tuyệt đối</t>
        </is>
      </c>
      <c r="G82" s="7" t="inlineStr">
        <is>
          <t>Dùng đúng hệ số này để suy LNTT cần thiết cho FY27F/FY28F.</t>
        </is>
      </c>
    </row>
    <row r="83">
      <c r="A83" s="6" t="n">
        <v>5</v>
      </c>
      <c r="B83" s="6" t="inlineStr">
        <is>
          <t>Các dòng đã cascade</t>
        </is>
      </c>
      <c r="C83" s="6" t="inlineStr">
        <is>
          <t>LNHĐ, LNTT, LNST-CĐTS, EPS, ROE, P/E, P/B, tổng tài sản, VCSH, BVPS</t>
        </is>
      </c>
      <c r="D83" s="6" t="inlineStr"/>
      <c r="E83" s="6" t="inlineStr">
        <is>
          <t>MAS</t>
        </is>
      </c>
      <c r="F83" s="7" t="inlineStr"/>
      <c r="G83" s="7" t="inlineStr">
        <is>
          <t>EPS trên 1,810 triệu cp (suy từ bảng cũ); BVPS giữ nguyên cơ sở số cp riêng của dòng đó (1,959/1,926 triệu) vì bảng gốc dùng hai cơ sở khác nhau — đây là điểm chưa nhất quán có sẵn, không phải do lần sửa này.</t>
        </is>
      </c>
    </row>
    <row r="84">
      <c r="A84" s="6" t="n">
        <v>6</v>
      </c>
      <c r="B84" s="6" t="inlineStr">
        <is>
          <t>ROE</t>
        </is>
      </c>
      <c r="C84" s="6" t="inlineStr">
        <is>
          <t>FY27F 27.0% / FY28F 26.4%</t>
        </is>
      </c>
      <c r="D84" s="6" t="inlineStr"/>
      <c r="E84" s="6" t="inlineStr">
        <is>
          <t>MAS</t>
        </is>
      </c>
      <c r="F84" s="7" t="inlineStr"/>
      <c r="G84" s="7" t="inlineStr">
        <is>
          <t>Không tái lập được công thức ROE gốc nên tính theo tỷ lệ: ROE cũ x (LNST mới/cũ) / (VCSH mới/cũ). Cách này không phụ thuộc vào cơ sở tính của bảng gốc.</t>
        </is>
      </c>
    </row>
    <row r="85">
      <c r="A85" s="6" t="n">
        <v>7</v>
      </c>
      <c r="B85" s="6" t="inlineStr">
        <is>
          <t>Giá mục tiêu</t>
        </is>
      </c>
      <c r="C85" s="6" t="inlineStr">
        <is>
          <t>giữ 78,750 đồng</t>
        </is>
      </c>
      <c r="D85" s="6" t="inlineStr"/>
      <c r="E85" s="6" t="inlineStr">
        <is>
          <t>MAS</t>
        </is>
      </c>
      <c r="F85" s="7" t="inlineStr"/>
      <c r="G85" s="7" t="inlineStr">
        <is>
          <t>Dự phóng cao hơn nhưng KHÔNG nâng giá mục tiêu: mức 78,750 do quản lý ấn định (+25% trên ~63,000) và phần bù rủi ro AI cao hơn bù lại phần lợi nhuận tăng. Nếu anh muốn chạy lại DCF thì giá mục tiêu sẽ cao hơn.</t>
        </is>
      </c>
    </row>
    <row r="86">
      <c r="A86" s="6" t="n">
        <v>8</v>
      </c>
      <c r="B86" s="6" t="inlineStr">
        <is>
          <t>CẢNH BÁO — chưa recalc được</t>
        </is>
      </c>
      <c r="C86" s="6" t="inlineStr">
        <is>
          <t>file model chưa được Excel tính lại</t>
        </is>
      </c>
      <c r="D86" s="6" t="inlineStr"/>
      <c r="E86" s="6" t="inlineStr">
        <is>
          <t>GAP</t>
        </is>
      </c>
      <c r="F86" s="7" t="inlineStr"/>
      <c r="G86" s="7" t="inlineStr">
        <is>
          <t>LibreOffice trong môi trường này không mở được file Office nên em chỉ ghi input mới vào PL!R19/S19/S20 và bật fullCalcOnLoad. ANH MỞ FILE MỘT LẦN TRONG EXCEL để toàn bộ mô hình tính lại, rồi đối chiếu PL!R55/S55 với 12,692 và 14,787. Số trên slide em tính bằng bản sao chuỗi P&amp;L trong Python, đã kiểm khớp tuyệt đối ở cột FY26.</t>
        </is>
      </c>
    </row>
    <row r="87">
      <c r="A87" s="6" t="n">
        <v>9</v>
      </c>
      <c r="B87" s="6" t="inlineStr">
        <is>
          <t>Sai số còn lại</t>
        </is>
      </c>
      <c r="C87" s="6" t="inlineStr">
        <is>
          <t>~0.16% ở dòng doanh thu</t>
        </is>
      </c>
      <c r="D87" s="6" t="inlineStr"/>
      <c r="E87" s="6" t="inlineStr">
        <is>
          <t>GAP</t>
        </is>
      </c>
      <c r="F87" s="7" t="inlineStr"/>
      <c r="G87" s="7" t="inlineStr">
        <is>
          <t>Bảng FY ghi doanh thu FY26F 57,284 tỷ trong khi cache của model là 57,195 tỷ. Chênh 0.16% có từ trước. Nếu sau khi recalc model ra số khác thì lấy model làm chuẩn.</t>
        </is>
      </c>
    </row>
    <row r="89">
      <c r="B89" s="5" t="inlineStr">
        <is>
          <t>FPT — DỰNG LẠI DỰ PHÓNG TRÊN BCTC FPT TELECOM (BẰNG CHỨNG, KHÔNG CÒN LÀ SỐ CHÈN)</t>
        </is>
      </c>
    </row>
    <row r="90">
      <c r="A90" s="6" t="n">
        <v>1</v>
      </c>
      <c r="B90" s="6" t="inlineStr">
        <is>
          <t>FOX — LNST-CĐTS 1H26</t>
        </is>
      </c>
      <c r="C90" s="6" t="inlineStr">
        <is>
          <t>1,877.2 (+13.9% CK)</t>
        </is>
      </c>
      <c r="D90" s="6" t="inlineStr">
        <is>
          <t>VNDbn</t>
        </is>
      </c>
      <c r="E90" s="6" t="inlineStr">
        <is>
          <t>COMPANY (BCTC HN Q2/2026, ký 23/07/26)</t>
        </is>
      </c>
    </row>
    <row r="91">
      <c r="A91" s="6" t="n">
        <v>2</v>
      </c>
      <c r="B91" s="6" t="inlineStr">
        <is>
          <t>FOX — LNTT 1H26</t>
        </is>
      </c>
      <c r="C91" s="6" t="inlineStr">
        <is>
          <t>2,392.5 (+14.1% CK)</t>
        </is>
      </c>
      <c r="D91" s="6" t="inlineStr">
        <is>
          <t>VNDbn</t>
        </is>
      </c>
      <c r="E91" s="6" t="inlineStr">
        <is>
          <t>COMPANY</t>
        </is>
      </c>
    </row>
    <row r="92">
      <c r="A92" s="6" t="n">
        <v>3</v>
      </c>
      <c r="B92" s="6" t="inlineStr">
        <is>
          <t>FOX — doanh thu thuần 1H26</t>
        </is>
      </c>
      <c r="C92" s="6" t="inlineStr">
        <is>
          <t>10,774.1 (+15.1% CK)</t>
        </is>
      </c>
      <c r="D92" s="6" t="inlineStr">
        <is>
          <t>VNDbn</t>
        </is>
      </c>
      <c r="E92" s="6" t="inlineStr">
        <is>
          <t>COMPANY</t>
        </is>
      </c>
    </row>
    <row r="93">
      <c r="A93" s="6" t="n">
        <v>4</v>
      </c>
      <c r="B93" s="6" t="inlineStr">
        <is>
          <t>FOX — LNST-CĐTS 2Q26</t>
        </is>
      </c>
      <c r="C93" s="6" t="inlineStr">
        <is>
          <t>991.1 (+12.1% CK)</t>
        </is>
      </c>
      <c r="D93" s="6" t="inlineStr">
        <is>
          <t>VNDbn</t>
        </is>
      </c>
      <c r="E93" s="6" t="inlineStr">
        <is>
          <t>COMPANY</t>
        </is>
      </c>
    </row>
    <row r="94">
      <c r="A94" s="6" t="n">
        <v>5</v>
      </c>
      <c r="B94" s="6" t="inlineStr">
        <is>
          <t>Tỷ lệ sở hữu FPT tại FOX</t>
        </is>
      </c>
      <c r="C94" s="6" t="inlineStr">
        <is>
          <t>45.66</t>
        </is>
      </c>
      <c r="D94" s="6" t="inlineStr">
        <is>
          <t>%</t>
        </is>
      </c>
      <c r="E94" s="6" t="inlineStr">
        <is>
          <t>COMPANY/PRESS</t>
        </is>
      </c>
    </row>
    <row r="95">
      <c r="A95" s="6" t="n">
        <v>6</v>
      </c>
      <c r="B95" s="6" t="inlineStr">
        <is>
          <t>Phần của FPT trong 1H26</t>
        </is>
      </c>
      <c r="C95" s="6" t="inlineStr">
        <is>
          <t>857 = 1,877.2 x 45.66%</t>
        </is>
      </c>
      <c r="D95" s="6" t="inlineStr">
        <is>
          <t>VNDbn</t>
        </is>
      </c>
      <c r="E95" s="6" t="inlineStr">
        <is>
          <t>DERIVED</t>
        </is>
      </c>
    </row>
    <row r="96">
      <c r="A96" s="6" t="n">
        <v>7</v>
      </c>
      <c r="B96" s="6" t="inlineStr">
        <is>
          <t>Cả năm theo run-rate / theo mùa vụ 2H25</t>
        </is>
      </c>
      <c r="C96" s="6" t="inlineStr">
        <is>
          <t>1,714 / 1,774</t>
        </is>
      </c>
      <c r="D96" s="6" t="inlineStr">
        <is>
          <t>VNDbn</t>
        </is>
      </c>
      <c r="E96" s="6" t="inlineStr">
        <is>
          <t>DERIVED</t>
        </is>
      </c>
    </row>
    <row r="97">
      <c r="B97" s="5" t="inlineStr">
        <is>
          <t>FPT — SỐ CÔNG BỐ 1H26 (nền của dự phóng)</t>
        </is>
      </c>
    </row>
    <row r="98">
      <c r="A98" s="6" t="n">
        <v>8</v>
      </c>
      <c r="B98" s="6" t="inlineStr">
        <is>
          <t>LNTT 1H26</t>
        </is>
      </c>
      <c r="C98" s="6" t="inlineStr">
        <is>
          <t>5,714 (+18.1% CK)</t>
        </is>
      </c>
      <c r="D98" s="6" t="inlineStr">
        <is>
          <t>VNDbn</t>
        </is>
      </c>
      <c r="E98" s="6" t="inlineStr">
        <is>
          <t>PRESS (CafeF 16/07/26)</t>
        </is>
      </c>
    </row>
    <row r="99">
      <c r="A99" s="6" t="n">
        <v>9</v>
      </c>
      <c r="B99" s="6" t="inlineStr">
        <is>
          <t>LNST-CĐTS 1Q26</t>
        </is>
      </c>
      <c r="C99" s="6" t="inlineStr">
        <is>
          <t>2,487 (+14.4% CK)</t>
        </is>
      </c>
      <c r="D99" s="6" t="inlineStr">
        <is>
          <t>VNDbn</t>
        </is>
      </c>
      <c r="E99" s="6" t="inlineStr">
        <is>
          <t>PRESS (VnEconomy 22/04/26)</t>
        </is>
      </c>
    </row>
    <row r="100">
      <c r="A100" s="6" t="n">
        <v>10</v>
      </c>
      <c r="B100" s="6" t="inlineStr">
        <is>
          <t>LNST-CĐTS 2Q26</t>
        </is>
      </c>
      <c r="C100" s="6" t="inlineStr">
        <is>
          <t>2,568 (+14.0% CK)</t>
        </is>
      </c>
      <c r="D100" s="6" t="inlineStr">
        <is>
          <t>VNDbn</t>
        </is>
      </c>
      <c r="E100" s="6" t="inlineStr">
        <is>
          <t>PRESS (CafeF 16/07/26)</t>
        </is>
      </c>
    </row>
    <row r="101">
      <c r="A101" s="6" t="n">
        <v>11</v>
      </c>
      <c r="B101" s="6" t="inlineStr">
        <is>
          <t>LNST-CĐTS 1H26</t>
        </is>
      </c>
      <c r="C101" s="6" t="inlineStr">
        <is>
          <t>5,055 (+14.2% CK)</t>
        </is>
      </c>
      <c r="D101" s="6" t="inlineStr">
        <is>
          <t>VNDbn</t>
        </is>
      </c>
      <c r="E101" s="6" t="inlineStr">
        <is>
          <t>DERIVED</t>
        </is>
      </c>
    </row>
    <row r="102">
      <c r="A102" s="6" t="n">
        <v>12</v>
      </c>
      <c r="B102" s="6" t="inlineStr">
        <is>
          <t>CHÊNH LỆCH LNTT vs LNST-CĐTS</t>
        </is>
      </c>
      <c r="C102" s="6" t="inlineStr">
        <is>
          <t>+18.1% vs +14.2% — cả 2 quý đều xác nhận</t>
        </is>
      </c>
      <c r="D102" s="6" t="n"/>
      <c r="E102" s="6" t="inlineStr">
        <is>
          <t>CHECK</t>
        </is>
      </c>
    </row>
    <row r="103">
      <c r="A103" s="6" t="n">
        <v>13</v>
      </c>
      <c r="B103" s="6" t="inlineStr">
        <is>
          <t>Nguyên nhân</t>
        </is>
      </c>
      <c r="C103" s="6" t="inlineStr">
        <is>
          <t>LN từ cty liên kết đã chịu thuế tại FOX, nên LNTT phóng đại phần thuộc cổ đông</t>
        </is>
      </c>
      <c r="D103" s="6" t="n"/>
      <c r="E103" s="6" t="inlineStr">
        <is>
          <t>DERIVED</t>
        </is>
      </c>
    </row>
    <row r="104">
      <c r="B104" s="5" t="inlineStr">
        <is>
          <t>GIẢ ĐỊNH ĐÃ SỬA TRONG MODEL</t>
        </is>
      </c>
    </row>
    <row r="105">
      <c r="A105" s="6" t="n">
        <v>14</v>
      </c>
      <c r="B105" s="6" t="inlineStr">
        <is>
          <t>Thuế — công thức cũ</t>
        </is>
      </c>
      <c r="C105" s="6" t="inlineStr">
        <is>
          <t>PL!Q50 = Q47*15% (đánh thuế cả phần liên kết — SAI)</t>
        </is>
      </c>
      <c r="D105" s="6" t="n"/>
      <c r="E105" s="6" t="inlineStr">
        <is>
          <t>MODEL</t>
        </is>
      </c>
    </row>
    <row r="106">
      <c r="A106" s="6" t="n">
        <v>15</v>
      </c>
      <c r="B106" s="6" t="inlineStr">
        <is>
          <t>Thuế — công thức mới</t>
        </is>
      </c>
      <c r="C106" s="6" t="inlineStr">
        <is>
          <t>PL!Q50:S50 = (Q47-Q45)*12%</t>
        </is>
      </c>
      <c r="D106" s="6" t="n"/>
      <c r="E106" s="6" t="inlineStr">
        <is>
          <t>MAS</t>
        </is>
      </c>
    </row>
    <row r="107">
      <c r="A107" s="6" t="n">
        <v>16</v>
      </c>
      <c r="B107" s="6" t="inlineStr">
        <is>
          <t>Thuế suất 12.0% — nguồn</t>
        </is>
      </c>
      <c r="C107" s="6" t="inlineStr">
        <is>
          <t>583/(5,714-857) từ chính số công bố 1H26</t>
        </is>
      </c>
      <c r="D107" s="6" t="inlineStr">
        <is>
          <t>%</t>
        </is>
      </c>
      <c r="E107" s="6" t="inlineStr">
        <is>
          <t>DERIVED</t>
        </is>
      </c>
    </row>
    <row r="108">
      <c r="A108" s="6" t="n">
        <v>17</v>
      </c>
      <c r="B108" s="6" t="inlineStr">
        <is>
          <t>Dòng liên kết — cũ</t>
        </is>
      </c>
      <c r="C108" s="6" t="inlineStr">
        <is>
          <t>Scenarios!H45:J45 = 4.5525/4.5408/4.4994% doanh thu (≈2,608 FY26F)</t>
        </is>
      </c>
      <c r="D108" s="6" t="n"/>
      <c r="E108" s="6" t="inlineStr">
        <is>
          <t>MODEL</t>
        </is>
      </c>
    </row>
    <row r="109">
      <c r="A109" s="6" t="n">
        <v>18</v>
      </c>
      <c r="B109" s="6" t="inlineStr">
        <is>
          <t>Dòng liên kết — mới</t>
        </is>
      </c>
      <c r="C109" s="6" t="inlineStr">
        <is>
          <t>Scenarios!H45:J45 = 3.2346/3.1981/3.1413% (1,850 / 2,109 / 2,404)</t>
        </is>
      </c>
      <c r="D109" s="6" t="n"/>
      <c r="E109" s="6" t="inlineStr">
        <is>
          <t>MAS</t>
        </is>
      </c>
    </row>
    <row r="110">
      <c r="A110" s="6" t="n">
        <v>19</v>
      </c>
      <c r="B110" s="6" t="inlineStr">
        <is>
          <t>Cách xác định</t>
        </is>
      </c>
      <c r="C110" s="6" t="inlineStr">
        <is>
          <t>FOX 1H26 x 45.66% x cả năm, tăng ~14%/năm theo chính đà của FOX</t>
        </is>
      </c>
      <c r="D110" s="6" t="n"/>
      <c r="E110" s="6" t="inlineStr">
        <is>
          <t>DERIVED</t>
        </is>
      </c>
    </row>
    <row r="111">
      <c r="A111" s="6" t="n">
        <v>20</v>
      </c>
      <c r="B111" s="6" t="inlineStr">
        <is>
          <t>Phần "cty liên kết khác"</t>
        </is>
      </c>
      <c r="C111" s="6" t="inlineStr">
        <is>
          <t>~74 (1,850 - 1,776) — nhỏ, là ẩn số duy nhất còn lại</t>
        </is>
      </c>
      <c r="D111" s="6" t="inlineStr">
        <is>
          <t>VNDbn</t>
        </is>
      </c>
      <c r="E111" s="6" t="inlineStr">
        <is>
          <t>GAP</t>
        </is>
      </c>
    </row>
    <row r="112">
      <c r="B112" s="5" t="inlineStr">
        <is>
          <t>DỰ PHÓNG MỚI</t>
        </is>
      </c>
    </row>
    <row r="113">
      <c r="A113" s="6" t="n">
        <v>21</v>
      </c>
      <c r="B113" s="6" t="inlineStr">
        <is>
          <t>Quyết định của analyst</t>
        </is>
      </c>
      <c r="C113" s="6" t="inlineStr">
        <is>
          <t>2H26 LNST-CĐTS +15% CK (1H26 thực tế +14.2%)</t>
        </is>
      </c>
      <c r="D113" s="6" t="n"/>
      <c r="E113" s="6" t="inlineStr">
        <is>
          <t>MAS</t>
        </is>
      </c>
    </row>
    <row r="114">
      <c r="A114" s="6" t="n">
        <v>22</v>
      </c>
      <c r="B114" s="6" t="inlineStr">
        <is>
          <t>FY26F</t>
        </is>
      </c>
      <c r="C114" s="6" t="inlineStr">
        <is>
          <t>10,848 (+14.6%) = 5,055 + 5,037 x 1.15</t>
        </is>
      </c>
      <c r="D114" s="6" t="inlineStr">
        <is>
          <t>VNDbn</t>
        </is>
      </c>
      <c r="E114" s="6" t="inlineStr">
        <is>
          <t>DERIVED</t>
        </is>
      </c>
    </row>
    <row r="115">
      <c r="A115" s="6" t="n">
        <v>23</v>
      </c>
      <c r="B115" s="6" t="inlineStr">
        <is>
          <t>FY27F</t>
        </is>
      </c>
      <c r="C115" s="6" t="inlineStr">
        <is>
          <t>12,549 (+15.7%)</t>
        </is>
      </c>
      <c r="D115" s="6" t="inlineStr">
        <is>
          <t>VNDbn</t>
        </is>
      </c>
      <c r="E115" s="6" t="inlineStr">
        <is>
          <t>MAS</t>
        </is>
      </c>
    </row>
    <row r="116">
      <c r="A116" s="6" t="n">
        <v>24</v>
      </c>
      <c r="B116" s="6" t="inlineStr">
        <is>
          <t>FY28F</t>
        </is>
      </c>
      <c r="C116" s="6" t="inlineStr">
        <is>
          <t>14,608 (+16.4%)</t>
        </is>
      </c>
      <c r="D116" s="6" t="inlineStr">
        <is>
          <t>VNDbn</t>
        </is>
      </c>
      <c r="E116" s="6" t="inlineStr">
        <is>
          <t>MAS</t>
        </is>
      </c>
    </row>
    <row r="117">
      <c r="A117" s="6" t="n">
        <v>25</v>
      </c>
      <c r="B117" s="6" t="inlineStr">
        <is>
          <t>Đối chiếu độc lập</t>
        </is>
      </c>
      <c r="C117" s="6" t="inlineStr">
        <is>
          <t>dựng từ dưới lên (chỉ FOX, không cty liên kết khác) ra 10,776 (+13.9%) — lệch 0.7%</t>
        </is>
      </c>
      <c r="D117" s="6" t="n"/>
      <c r="E117" s="6" t="inlineStr">
        <is>
          <t>CHECK</t>
        </is>
      </c>
    </row>
    <row r="118">
      <c r="A118" s="6" t="n">
        <v>26</v>
      </c>
      <c r="B118" s="6" t="inlineStr">
        <is>
          <t>Đòn bẩy SG&amp;A</t>
        </is>
      </c>
      <c r="C118" s="6" t="inlineStr">
        <is>
          <t>giữ nguyên: 17.6% -&gt; 17.1% -&gt; 16.5% doanh thu</t>
        </is>
      </c>
      <c r="D118" s="6" t="n"/>
      <c r="E118" s="6" t="inlineStr">
        <is>
          <t>MAS</t>
        </is>
      </c>
    </row>
    <row r="119">
      <c r="A119" s="6" t="n">
        <v>27</v>
      </c>
      <c r="B119" s="6" t="inlineStr">
        <is>
          <t>Giá mục tiêu</t>
        </is>
      </c>
      <c r="C119" s="6" t="inlineStr">
        <is>
          <t>giữ 78,750 đồng (DCF); LNTT/LNST-CĐTS giảm &lt;1.2% nên chưa chạy lại DCF</t>
        </is>
      </c>
      <c r="D119" s="6" t="n"/>
      <c r="E119" s="6" t="inlineStr">
        <is>
          <t>GAP</t>
        </is>
      </c>
    </row>
    <row r="120">
      <c r="A120" s="6" t="n">
        <v>28</v>
      </c>
      <c r="B120" s="6" t="inlineStr">
        <is>
          <t>Các dòng đã cascade</t>
        </is>
      </c>
      <c r="C120" s="6" t="inlineStr">
        <is>
          <t>LNTT, LNST-CĐTS, EPS, P/E trên cả 2 trang EN/VN + bảng Stock Pick + sheet TP</t>
        </is>
      </c>
      <c r="D120" s="6" t="n"/>
      <c r="E120" s="6" t="inlineStr">
        <is>
          <t>MAS</t>
        </is>
      </c>
    </row>
    <row r="121">
      <c r="A121" s="6" t="n">
        <v>29</v>
      </c>
      <c r="B121" s="6" t="inlineStr">
        <is>
          <t>Kiểm tra tự động</t>
        </is>
      </c>
      <c r="C121" s="6" t="inlineStr">
        <is>
          <t>42/42 đạt (check_fpt.py): EN=VN, LNTT-&gt;LNST-CĐTS, EPS, P/E, model vs slide</t>
        </is>
      </c>
      <c r="D121" s="6" t="n"/>
      <c r="E121" s="6" t="inlineStr">
        <is>
          <t>CHECK</t>
        </is>
      </c>
    </row>
    <row r="122">
      <c r="B122" s="5" t="inlineStr">
        <is>
          <t>CÒN TỒN SAU BẢN NÀY</t>
        </is>
      </c>
    </row>
    <row r="123">
      <c r="A123" s="6" t="n">
        <v>30</v>
      </c>
      <c r="B123" s="6" t="inlineStr">
        <is>
          <t>G9 Thuế suất 12.0%</t>
        </is>
      </c>
      <c r="C123" s="6" t="inlineStr">
        <is>
          <t>mới có 1 nửa năm; ưu đãi khu CNTT có thể hết hạn -&gt; FY27-28F có thể cao hơn</t>
        </is>
      </c>
      <c r="D123" s="6" t="n"/>
      <c r="E123" s="6" t="inlineStr">
        <is>
          <t>GAP</t>
        </is>
      </c>
    </row>
    <row r="124">
      <c r="A124" s="6" t="n">
        <v>31</v>
      </c>
      <c r="B124" s="6" t="inlineStr">
        <is>
          <t>G10 P/B, VCSH, tổng tài sản, ROE</t>
        </is>
      </c>
      <c r="C124" s="6" t="inlineStr">
        <is>
          <t>chưa chỉnh theo LNST-CĐTS thấp hơn (~0.4%, dưới mức hiển thị)</t>
        </is>
      </c>
      <c r="D124" s="6" t="n"/>
      <c r="E124" s="6" t="inlineStr">
        <is>
          <t>GAP</t>
        </is>
      </c>
    </row>
    <row r="125">
      <c r="A125" s="6" t="n">
        <v>32</v>
      </c>
      <c r="B125" s="6" t="inlineStr">
        <is>
          <t>G11 LNTT FY25 công bố lại</t>
        </is>
      </c>
      <c r="C125" s="6" t="inlineStr">
        <is>
          <t>vẫn chưa có số chính thức — mọi so sánh LNTT theo năm còn treo</t>
        </is>
      </c>
      <c r="D125" s="6" t="n"/>
      <c r="E125" s="6" t="inlineStr">
        <is>
          <t>GAP</t>
        </is>
      </c>
    </row>
    <row r="126">
      <c r="A126" s="6" t="n">
        <v>33</v>
      </c>
      <c r="B126" s="6" t="inlineStr">
        <is>
          <t>G12 Doanh thu trên slide vs model</t>
        </is>
      </c>
      <c r="C126" s="6" t="inlineStr">
        <is>
          <t>57,284 vs 57,195 (0.16%) — lệch cũ, chưa đồng bộ</t>
        </is>
      </c>
      <c r="D126" s="6" t="n"/>
      <c r="E126" s="6" t="inlineStr">
        <is>
          <t>GAP</t>
        </is>
      </c>
    </row>
    <row r="127">
      <c r="A127" s="6" t="n">
        <v>34</v>
      </c>
      <c r="B127" s="6" t="inlineStr">
        <is>
          <t>G13 Model chưa recalc</t>
        </is>
      </c>
      <c r="C127" s="6" t="inlineStr">
        <is>
          <t>Excel chưa mở lại; Scenarios!H43 còn cache 5.0%</t>
        </is>
      </c>
      <c r="D127" s="6" t="n"/>
      <c r="E127" s="6" t="inlineStr">
        <is>
          <t>GAP</t>
        </is>
      </c>
    </row>
    <row r="128">
      <c r="A128" s="6" t="n">
        <v>35</v>
      </c>
      <c r="B128" s="6" t="inlineStr">
        <is>
          <t>G8 Không QA được bố cục</t>
        </is>
      </c>
      <c r="C128" s="6" t="inlineStr">
        <is>
          <t>LibreOffice không mở được file Office trong môi trường này</t>
        </is>
      </c>
      <c r="D128" s="6" t="n"/>
      <c r="E128" s="6" t="inlineStr">
        <is>
          <t>GAP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selection activeCell="A1" sqref="A1"/>
    </sheetView>
  </sheetViews>
  <sheetFormatPr baseColWidth="8" defaultRowHeight="15"/>
  <cols>
    <col width="54" customWidth="1" min="1" max="1"/>
    <col width="30" customWidth="1" min="2" max="2"/>
    <col width="26" customWidth="1" min="3" max="3"/>
    <col width="24" customWidth="1" min="4" max="4"/>
    <col width="22" customWidth="1" min="5" max="5"/>
  </cols>
  <sheetData>
    <row r="1">
      <c r="A1" t="inlineStr">
        <is>
          <t>FPT — ĐỐI CHIẾU CHÉO DỰ PHÓNG FY26F (4 hướng độc lập)</t>
        </is>
      </c>
      <c r="B1" s="5" t="n"/>
    </row>
    <row r="2">
      <c r="A2" t="inlineStr">
        <is>
          <t>Hướng dựng</t>
        </is>
      </c>
      <c r="B2" s="5" t="inlineStr">
        <is>
          <t>FY26F (tỷ đồng)</t>
        </is>
      </c>
      <c r="C2" t="inlineStr">
        <is>
          <t>Tăng trưởng</t>
        </is>
      </c>
      <c r="D2" t="inlineStr">
        <is>
          <t>Lệch so với số dùng</t>
        </is>
      </c>
    </row>
    <row r="3">
      <c r="A3" s="6" t="inlineStr">
        <is>
          <t>1. Mùa vụ trên LNST-CĐTS (1H26 5,055 ÷ 46.8%)</t>
        </is>
      </c>
      <c r="B3" s="6" t="inlineStr">
        <is>
          <t>10,808</t>
        </is>
      </c>
      <c r="C3" s="6" t="inlineStr">
        <is>
          <t>+14.2%</t>
        </is>
      </c>
      <c r="D3" s="6" t="inlineStr">
        <is>
          <t>-0.4%</t>
        </is>
      </c>
    </row>
    <row r="4">
      <c r="A4" s="6" t="inlineStr">
        <is>
          <t>2. Mùa vụ trên LNTT (5,714 ÷ 46.8% = 12,217) rồi quy về LNST-CĐTS</t>
        </is>
      </c>
      <c r="B4" s="6" t="inlineStr">
        <is>
          <t>10,809</t>
        </is>
      </c>
      <c r="C4" s="6" t="inlineStr">
        <is>
          <t>+14.2%</t>
        </is>
      </c>
      <c r="D4" s="6" t="inlineStr">
        <is>
          <t>-0.4%</t>
        </is>
      </c>
    </row>
    <row r="5">
      <c r="A5" s="6" t="inlineStr">
        <is>
          <t>3. Doanh thu từng mảng x biên LNTT thực tế 1H26</t>
        </is>
      </c>
      <c r="B5" s="6" t="inlineStr">
        <is>
          <t>10,875</t>
        </is>
      </c>
      <c r="C5" s="6" t="inlineStr">
        <is>
          <t>+14.9%</t>
        </is>
      </c>
      <c r="D5" s="6" t="inlineStr">
        <is>
          <t>+0.2%</t>
        </is>
      </c>
    </row>
    <row r="6">
      <c r="A6" s="6" t="inlineStr">
        <is>
          <t>4. Khối hoạt động của model + phần FOX (không tính LK khác)</t>
        </is>
      </c>
      <c r="B6" s="6" t="inlineStr">
        <is>
          <t>10,774</t>
        </is>
      </c>
      <c r="C6" s="6" t="inlineStr">
        <is>
          <t>+13.8%</t>
        </is>
      </c>
      <c r="D6" s="6" t="inlineStr">
        <is>
          <t>-0.7%</t>
        </is>
      </c>
    </row>
    <row r="7">
      <c r="A7" s="6" t="inlineStr">
        <is>
          <t>SỐ ĐANG DÙNG</t>
        </is>
      </c>
      <c r="B7" s="6" t="inlineStr">
        <is>
          <t>10,848</t>
        </is>
      </c>
      <c r="C7" s="6" t="inlineStr">
        <is>
          <t>+14.6%</t>
        </is>
      </c>
      <c r="D7" s="6" t="inlineStr">
        <is>
          <t>giữa dải</t>
        </is>
      </c>
    </row>
    <row r="8">
      <c r="A8" s="6" t="inlineStr">
        <is>
          <t>Biên độ 4 hướng</t>
        </is>
      </c>
      <c r="B8" s="6" t="inlineStr">
        <is>
          <t>10,774 - 10,875 (rộng 0.9%)</t>
        </is>
      </c>
      <c r="C8" s="6" t="n"/>
      <c r="D8" s="6" t="inlineStr">
        <is>
          <t>CHECK</t>
        </is>
      </c>
    </row>
    <row r="9">
      <c r="A9" s="6" t="inlineStr">
        <is>
          <t>Kiểm tra kế hoạch</t>
        </is>
      </c>
      <c r="B9" s="6" t="inlineStr">
        <is>
          <t>LNTT 1H26 = 49.1% KH năm (mùa vụ 46.8%) -&gt; vượt KH ~5.1%</t>
        </is>
      </c>
      <c r="C9" s="6" t="n"/>
      <c r="D9" s="6" t="inlineStr">
        <is>
          <t>CHECK</t>
        </is>
      </c>
    </row>
    <row r="10">
      <c r="A10" t="inlineStr">
        <is>
          <t>ĐỘ NHẠY — các biến 1H26 CHƯA chốt được</t>
        </is>
      </c>
      <c r="B10" s="5" t="n"/>
    </row>
    <row r="11">
      <c r="A11" t="inlineStr">
        <is>
          <t>Biến</t>
        </is>
      </c>
      <c r="B11" s="5" t="inlineStr">
        <is>
          <t>Tác động LNST-CĐTS</t>
        </is>
      </c>
      <c r="C11" t="inlineStr">
        <is>
          <t>FY26F</t>
        </is>
      </c>
      <c r="D11" t="inlineStr">
        <is>
          <t>Tăng trưởng</t>
        </is>
      </c>
    </row>
    <row r="12">
      <c r="A12" s="6" t="inlineStr">
        <is>
          <t>Giáo dục/khác đi ngang 2H thay vì +12.7%</t>
        </is>
      </c>
      <c r="B12" s="6" t="inlineStr">
        <is>
          <t>-181</t>
        </is>
      </c>
      <c r="C12" s="6" t="inlineStr">
        <is>
          <t>10,667</t>
        </is>
      </c>
      <c r="D12" s="6" t="inlineStr">
        <is>
          <t>+12.7%</t>
        </is>
      </c>
    </row>
    <row r="13">
      <c r="A13" s="6" t="inlineStr">
        <is>
          <t>Cty liên kết = run-rate FOX 1,714, không có LK khác</t>
        </is>
      </c>
      <c r="B13" s="6" t="inlineStr">
        <is>
          <t>-134</t>
        </is>
      </c>
      <c r="C13" s="6" t="inlineStr">
        <is>
          <t>10,714</t>
        </is>
      </c>
      <c r="D13" s="6" t="inlineStr">
        <is>
          <t>+13.2%</t>
        </is>
      </c>
    </row>
    <row r="14">
      <c r="A14" s="6" t="inlineStr">
        <is>
          <t>Thuế suất 13% thay vì 12% (ưu đãi hết hạn)</t>
        </is>
      </c>
      <c r="B14" s="6" t="inlineStr">
        <is>
          <t>-103</t>
        </is>
      </c>
      <c r="C14" s="6" t="inlineStr">
        <is>
          <t>10,745</t>
        </is>
      </c>
      <c r="D14" s="6" t="inlineStr">
        <is>
          <t>+13.5%</t>
        </is>
      </c>
    </row>
    <row r="15">
      <c r="A15" s="6" t="inlineStr">
        <is>
          <t>CNTT nước ngoài giữ +13.4% 2H (không tăng tốc)</t>
        </is>
      </c>
      <c r="B15" s="6" t="inlineStr">
        <is>
          <t>-63</t>
        </is>
      </c>
      <c r="C15" s="6" t="inlineStr">
        <is>
          <t>10,785</t>
        </is>
      </c>
      <c r="D15" s="6" t="inlineStr">
        <is>
          <t>+14.0%</t>
        </is>
      </c>
    </row>
    <row r="16">
      <c r="A16" s="6" t="inlineStr">
        <is>
          <t>CNTT trong nước giữ +22.5% 2H thay vì +5.6%</t>
        </is>
      </c>
      <c r="B16" s="6" t="inlineStr">
        <is>
          <t>+68</t>
        </is>
      </c>
      <c r="C16" s="6" t="inlineStr">
        <is>
          <t>10,916</t>
        </is>
      </c>
      <c r="D16" s="6" t="inlineStr">
        <is>
          <t>+15.3%</t>
        </is>
      </c>
    </row>
    <row r="17">
      <c r="A17" s="6" t="inlineStr">
        <is>
          <t>Gộp toàn bộ chiều giảm</t>
        </is>
      </c>
      <c r="B17" s="6" t="inlineStr">
        <is>
          <t>-481</t>
        </is>
      </c>
      <c r="C17" s="6" t="inlineStr">
        <is>
          <t>10,367</t>
        </is>
      </c>
      <c r="D17" s="6" t="inlineStr">
        <is>
          <t>+9.5%</t>
        </is>
      </c>
    </row>
    <row r="18">
      <c r="A18" s="6" t="inlineStr">
        <is>
          <t>Gộp toàn bộ chiều tăng</t>
        </is>
      </c>
      <c r="B18" s="6" t="inlineStr">
        <is>
          <t>+68</t>
        </is>
      </c>
      <c r="C18" s="6" t="inlineStr">
        <is>
          <t>10,916</t>
        </is>
      </c>
      <c r="D18" s="6" t="inlineStr">
        <is>
          <t>+15.3%</t>
        </is>
      </c>
    </row>
    <row r="19">
      <c r="A19" t="inlineStr">
        <is>
          <t>FY27F-28F — KHÔNG ĐƯỢC 1H26 XÁC NHẬN</t>
        </is>
      </c>
      <c r="B19" s="5" t="n"/>
    </row>
    <row r="20">
      <c r="A20" t="inlineStr">
        <is>
          <t>Cấu phần tăng trưởng khối hoạt động</t>
        </is>
      </c>
      <c r="B20" s="5" t="inlineStr">
        <is>
          <t>FY27F</t>
        </is>
      </c>
      <c r="C20" t="inlineStr">
        <is>
          <t>FY28F</t>
        </is>
      </c>
      <c r="D20" t="inlineStr">
        <is>
          <t>Ghi chú</t>
        </is>
      </c>
    </row>
    <row r="21">
      <c r="A21" s="6" t="inlineStr">
        <is>
          <t>Lợi nhuận hoạt động lõi</t>
        </is>
      </c>
      <c r="B21" s="6" t="inlineStr">
        <is>
          <t>+1,229 (73%)</t>
        </is>
      </c>
      <c r="C21" s="6" t="inlineStr">
        <is>
          <t>+2,001 (98%)</t>
        </is>
      </c>
      <c r="D21" s="6" t="inlineStr">
        <is>
          <t>dựa vào đòn bẩy SG&amp;A</t>
        </is>
      </c>
    </row>
    <row r="22">
      <c r="A22" s="6" t="inlineStr">
        <is>
          <t>Thu nhập tài chính ròng</t>
        </is>
      </c>
      <c r="B22" s="6" t="inlineStr">
        <is>
          <t>+446 (26%)</t>
        </is>
      </c>
      <c r="C22" s="6" t="inlineStr">
        <is>
          <t>+25 (1%)</t>
        </is>
      </c>
      <c r="D22" s="6" t="inlineStr">
        <is>
          <t>ĐIỂM YẾU NHẤT</t>
        </is>
      </c>
    </row>
    <row r="23">
      <c r="A23" s="6" t="inlineStr">
        <is>
          <t>Thu nhập tài chính ròng — mức tuyệt đối</t>
        </is>
      </c>
      <c r="B23" s="6" t="inlineStr">
        <is>
          <t>558 -&gt; 1,004 (+80%)</t>
        </is>
      </c>
      <c r="C23" s="6" t="inlineStr">
        <is>
          <t>1,030</t>
        </is>
      </c>
      <c r="D23" s="6" t="inlineStr">
        <is>
          <t>chưa có lý do</t>
        </is>
      </c>
    </row>
    <row r="24">
      <c r="A24" s="6" t="inlineStr">
        <is>
          <t>Nếu thu nhập tài chính chỉ đi ngang ở 558</t>
        </is>
      </c>
      <c r="B24" s="6" t="inlineStr">
        <is>
          <t>FY27F 12,163</t>
        </is>
      </c>
      <c r="C24" s="6" t="inlineStr">
        <is>
          <t>+12.1% thay vì +15.7%</t>
        </is>
      </c>
      <c r="D24" s="6" t="inlineStr">
        <is>
          <t>GAP</t>
        </is>
      </c>
    </row>
    <row r="25">
      <c r="A25" s="6" t="inlineStr">
        <is>
          <t>Biên hoạt động lõi</t>
        </is>
      </c>
      <c r="B25" s="6" t="inlineStr">
        <is>
          <t>17.06% -&gt; 16.66% -&gt; 16.97%</t>
        </is>
      </c>
      <c r="C25" s="6" t="n"/>
      <c r="D25" s="6" t="inlineStr">
        <is>
          <t>giảm rồi hồi</t>
        </is>
      </c>
    </row>
    <row r="26">
      <c r="A26" t="inlineStr">
        <is>
          <t>KẾT LUẬN</t>
        </is>
      </c>
      <c r="B26" s="5" t="n"/>
    </row>
    <row r="27">
      <c r="A27" s="6" t="inlineStr">
        <is>
          <t>FY26F</t>
        </is>
      </c>
      <c r="B27" s="6" t="inlineStr">
        <is>
          <t>đối chiếu chặt — 4 hướng trong biên 0.9%</t>
        </is>
      </c>
      <c r="C27" s="6" t="n"/>
      <c r="D27" s="6" t="inlineStr">
        <is>
          <t>CHECK</t>
        </is>
      </c>
    </row>
    <row r="28">
      <c r="A28" s="6" t="inlineStr">
        <is>
          <t>FY27F</t>
        </is>
      </c>
      <c r="B28" s="6" t="inlineStr">
        <is>
          <t>chưa đối chiếu được; 26% mức tăng đến từ thu nhập tài chính</t>
        </is>
      </c>
      <c r="C28" s="6" t="n"/>
      <c r="D28" s="6" t="inlineStr">
        <is>
          <t>GAP</t>
        </is>
      </c>
    </row>
    <row r="29">
      <c r="A29" s="6" t="inlineStr">
        <is>
          <t>FY28F</t>
        </is>
      </c>
      <c r="B29" s="6" t="inlineStr">
        <is>
          <t>cấu phần sạch hơn nhưng phụ thuộc hoàn toàn giả định SG&amp;A</t>
        </is>
      </c>
      <c r="C29" s="6" t="n"/>
      <c r="D29" s="6" t="inlineStr">
        <is>
          <t>GAP</t>
        </is>
      </c>
    </row>
    <row r="31">
      <c r="A31" t="inlineStr">
        <is>
          <t>FPT — TIỀN GỬI VÀ THU NHẬP TÀI CHÍNH</t>
        </is>
      </c>
      <c r="B31" s="5" t="n"/>
    </row>
    <row r="32">
      <c r="A32" t="inlineStr">
        <is>
          <t>Khoản mục (tỷ đồng)</t>
        </is>
      </c>
      <c r="B32" s="5" t="inlineStr">
        <is>
          <t>FY24</t>
        </is>
      </c>
      <c r="C32" t="inlineStr">
        <is>
          <t>FY25</t>
        </is>
      </c>
      <c r="D32" t="inlineStr">
        <is>
          <t>FY26F / FY27F / FY28F</t>
        </is>
      </c>
    </row>
    <row r="33">
      <c r="A33" s="6" t="inlineStr">
        <is>
          <t>Tiền và tương đương tiền (BS!6)</t>
        </is>
      </c>
      <c r="B33" s="6" t="inlineStr">
        <is>
          <t>9,315</t>
        </is>
      </c>
      <c r="C33" s="6" t="inlineStr">
        <is>
          <t>10,540</t>
        </is>
      </c>
      <c r="D33" s="6" t="inlineStr">
        <is>
          <t>17,810 / 20,357 / 22,560</t>
        </is>
      </c>
    </row>
    <row r="34">
      <c r="A34" s="6" t="inlineStr">
        <is>
          <t>Đầu tư tài chính ngắn hạn (BS!7)</t>
        </is>
      </c>
      <c r="B34" s="6" t="inlineStr">
        <is>
          <t>21,785</t>
        </is>
      </c>
      <c r="C34" s="6" t="inlineStr">
        <is>
          <t>29,613</t>
        </is>
      </c>
      <c r="D34" s="6" t="inlineStr">
        <is>
          <t>29,613 cả 3 năm — GIỮ NGUYÊN</t>
        </is>
      </c>
    </row>
    <row r="35">
      <c r="A35" s="6">
        <f> Thanh khoản gộp</f>
        <v/>
      </c>
      <c r="B35" s="6" t="inlineStr">
        <is>
          <t>31,100</t>
        </is>
      </c>
      <c r="C35" s="6" t="inlineStr">
        <is>
          <t>40,153</t>
        </is>
      </c>
      <c r="D35" s="6" t="inlineStr">
        <is>
          <t>47,423 / 49,970 / 52,173</t>
        </is>
      </c>
    </row>
    <row r="36">
      <c r="A36" s="6" t="inlineStr">
        <is>
          <t>Tổng nợ vay (BS!58)</t>
        </is>
      </c>
      <c r="B36" s="6" t="inlineStr">
        <is>
          <t>14,947</t>
        </is>
      </c>
      <c r="C36" s="6" t="inlineStr">
        <is>
          <t>21,073</t>
        </is>
      </c>
      <c r="D36" s="6" t="inlineStr">
        <is>
          <t>21,486 / 21,966 / 21,966</t>
        </is>
      </c>
    </row>
    <row r="37">
      <c r="A37" s="6">
        <f> Tiền ròng</f>
        <v/>
      </c>
      <c r="B37" s="6" t="inlineStr">
        <is>
          <t>16,153</t>
        </is>
      </c>
      <c r="C37" s="6" t="inlineStr">
        <is>
          <t>19,080</t>
        </is>
      </c>
      <c r="D37" s="6" t="inlineStr">
        <is>
          <t>25,937 / 28,004 / 30,207</t>
        </is>
      </c>
    </row>
    <row r="38">
      <c r="A38" s="6" t="inlineStr">
        <is>
          <t>Doanh thu HĐ tài chính (PL!32)</t>
        </is>
      </c>
      <c r="B38" s="6" t="inlineStr">
        <is>
          <t>1,936</t>
        </is>
      </c>
      <c r="C38" s="6" t="inlineStr">
        <is>
          <t>2,977</t>
        </is>
      </c>
      <c r="D38" s="6" t="inlineStr">
        <is>
          <t>1,882 / 2,444 / 2,554</t>
        </is>
      </c>
    </row>
    <row r="39">
      <c r="A39" s="6" t="inlineStr">
        <is>
          <t>Chi phí HĐ tài chính (PL!34)</t>
        </is>
      </c>
      <c r="B39" s="6" t="inlineStr">
        <is>
          <t>1,812</t>
        </is>
      </c>
      <c r="C39" s="6" t="inlineStr">
        <is>
          <t>1,672</t>
        </is>
      </c>
      <c r="D39" s="6" t="inlineStr">
        <is>
          <t>1,324 / 1,439 / 1,524</t>
        </is>
      </c>
    </row>
    <row r="40">
      <c r="A40" s="6" t="inlineStr">
        <is>
          <t xml:space="preserve">  trong đó chi phí lãi vay (PL!35)</t>
        </is>
      </c>
      <c r="B40" s="6" t="inlineStr">
        <is>
          <t>552</t>
        </is>
      </c>
      <c r="C40" s="6" t="inlineStr">
        <is>
          <t>810</t>
        </is>
      </c>
      <c r="D40" s="6" t="inlineStr">
        <is>
          <t>924 / 978 / 988</t>
        </is>
      </c>
    </row>
    <row r="41">
      <c r="A41" s="6">
        <f> Lãi/lỗ HĐ tài chính thuần (PL!39)</f>
        <v/>
      </c>
      <c r="B41" s="6" t="inlineStr">
        <is>
          <t>124</t>
        </is>
      </c>
      <c r="C41" s="6" t="inlineStr">
        <is>
          <t>1,305</t>
        </is>
      </c>
      <c r="D41" s="6" t="inlineStr">
        <is>
          <t>558 / 1,004 / 1,029</t>
        </is>
      </c>
    </row>
    <row r="42">
      <c r="A42" s="6" t="inlineStr">
        <is>
          <t>Suất sinh lời trên thanh khoản (PL!33)</t>
        </is>
      </c>
      <c r="B42" s="6" t="inlineStr">
        <is>
          <t>6.23%</t>
        </is>
      </c>
      <c r="C42" s="6" t="inlineStr">
        <is>
          <t>7.41%</t>
        </is>
      </c>
      <c r="D42" s="6" t="inlineStr">
        <is>
          <t>3.97% / 4.89% / 4.90%</t>
        </is>
      </c>
    </row>
    <row r="43">
      <c r="A43" t="inlineStr">
        <is>
          <t>BẢN CHẤT KHOẢN ĐẦU TƯ — theo Thuyết minh 4 BCTC FOX</t>
        </is>
      </c>
      <c r="B43" s="5" t="n"/>
    </row>
    <row r="44">
      <c r="A44" s="6" t="inlineStr">
        <is>
          <t>FOX — tiền gửi có kỳ hạn 31/12/2025</t>
        </is>
      </c>
      <c r="B44" s="6" t="inlineStr">
        <is>
          <t>12,378.5</t>
        </is>
      </c>
      <c r="C44" s="6" t="inlineStr">
        <is>
          <t>VNDbn</t>
        </is>
      </c>
      <c r="D44" s="6" t="inlineStr">
        <is>
          <t>COMPANY (TM4)</t>
        </is>
      </c>
    </row>
    <row r="45">
      <c r="A45" s="6" t="inlineStr">
        <is>
          <t>FOX — lãi phải thu ngắn hạn 31/12/2025</t>
        </is>
      </c>
      <c r="B45" s="6" t="inlineStr">
        <is>
          <t>163.4</t>
        </is>
      </c>
      <c r="C45" s="6" t="inlineStr">
        <is>
          <t>VNDbn</t>
        </is>
      </c>
      <c r="D45" s="6" t="inlineStr">
        <is>
          <t>COMPANY (TM4)</t>
        </is>
      </c>
    </row>
    <row r="46">
      <c r="A46" s="6" t="inlineStr">
        <is>
          <t>FOX — tổng ĐT nắm giữ đến đáo hạn 31/12/2025</t>
        </is>
      </c>
      <c r="B46" s="6" t="inlineStr">
        <is>
          <t>12,541.9</t>
        </is>
      </c>
      <c r="C46" s="6" t="inlineStr">
        <is>
          <t>VNDbn</t>
        </is>
      </c>
      <c r="D46" s="6" t="inlineStr">
        <is>
          <t>COMPANY (TM4)</t>
        </is>
      </c>
    </row>
    <row r="47">
      <c r="A47" s="6" t="inlineStr">
        <is>
          <t>FOX — tổng ĐT nắm giữ đến đáo hạn 30/06/2026</t>
        </is>
      </c>
      <c r="B47" s="6" t="inlineStr">
        <is>
          <t>15,284.0</t>
        </is>
      </c>
      <c r="C47" s="6" t="inlineStr">
        <is>
          <t>VNDbn</t>
        </is>
      </c>
      <c r="D47" s="6" t="inlineStr">
        <is>
          <t>COMPANY (TM4)</t>
        </is>
      </c>
    </row>
    <row r="48">
      <c r="A48" s="6" t="inlineStr">
        <is>
          <t>BẢN CHẤT</t>
        </is>
      </c>
      <c r="B48" s="6" t="inlineStr">
        <is>
          <t>tiền gửi NHTM trong nước, kỳ hạn gốc 3-12 tháng</t>
        </is>
      </c>
      <c r="C48" s="6" t="n"/>
      <c r="D48" s="6" t="inlineStr">
        <is>
          <t>COMPANY (TM4)</t>
        </is>
      </c>
    </row>
    <row r="49">
      <c r="A49" s="6" t="inlineStr">
        <is>
          <t>CHỨNG CHỈ TIỀN GỬI (CD)</t>
        </is>
      </c>
      <c r="B49" s="6" t="inlineStr">
        <is>
          <t>KHÔNG có khoản nào được phân loại là CD ở FOX</t>
        </is>
      </c>
      <c r="C49" s="6" t="n"/>
      <c r="D49" s="6" t="inlineStr">
        <is>
          <t>COMPANY</t>
        </is>
      </c>
    </row>
    <row r="50">
      <c r="A50" s="6" t="inlineStr">
        <is>
          <t>FPT mẹ — chưa xác minh được</t>
        </is>
      </c>
      <c r="B50" s="6" t="inlineStr">
        <is>
          <t>chưa có BCTC riêng của FPT; không suy diễn tỷ trọng CD</t>
        </is>
      </c>
      <c r="C50" s="6" t="n"/>
      <c r="D50" s="6" t="inlineStr">
        <is>
          <t>GAP</t>
        </is>
      </c>
    </row>
    <row r="51">
      <c r="A51" t="inlineStr">
        <is>
          <t>PHÁT HIỆN — BẢNG CÂN ĐỐI CHƯA ĐƯỢC LẬP LẠI SAU KHI THÔI HỢP NHẤT</t>
        </is>
      </c>
      <c r="B51" s="5" t="n"/>
    </row>
    <row r="52">
      <c r="A52" s="6" t="inlineStr">
        <is>
          <t>ĐTTC ngắn hạn 29,613 vẫn gồm FOX</t>
        </is>
      </c>
      <c r="B52" s="6" t="inlineStr">
        <is>
          <t>FOX chiếm 12,542 (42%) — FPT trừ FOX còn ~17,071</t>
        </is>
      </c>
      <c r="C52" s="6" t="n"/>
      <c r="D52" s="6" t="inlineStr">
        <is>
          <t>DERIVED</t>
        </is>
      </c>
    </row>
    <row r="53">
      <c r="A53" s="6" t="inlineStr">
        <is>
          <t>Tổng tài sản FY26F 92,112</t>
        </is>
      </c>
      <c r="B53" s="6" t="inlineStr">
        <is>
          <t>lẽ ra ~74,000 + tăng trưởng (bỏ FOX 26,105, cộng 12,270 VCSH)</t>
        </is>
      </c>
      <c r="C53" s="6" t="n"/>
      <c r="D53" s="6" t="inlineStr">
        <is>
          <t>GAP</t>
        </is>
      </c>
    </row>
    <row r="54">
      <c r="A54" s="6" t="inlineStr">
        <is>
          <t>Hệ quả</t>
        </is>
      </c>
      <c r="B54" s="6" t="inlineStr">
        <is>
          <t>P/B, BVPS, VCSH, tổng tài sản trên slide không tin cậy</t>
        </is>
      </c>
      <c r="C54" s="6" t="n"/>
      <c r="D54" s="6" t="inlineStr">
        <is>
          <t>GAP</t>
        </is>
      </c>
    </row>
    <row r="55">
      <c r="A55" s="6" t="inlineStr">
        <is>
          <t>KHÔNG ảnh hưởng dự phóng LNST-CĐTS</t>
        </is>
      </c>
      <c r="B55" s="6" t="inlineStr">
        <is>
          <t>PL!32 là input từ lịch riêng (PL!K390), không chạy từ BS</t>
        </is>
      </c>
      <c r="C55" s="6" t="n"/>
      <c r="D55" s="6" t="inlineStr">
        <is>
          <t>CHECK</t>
        </is>
      </c>
    </row>
    <row r="56">
      <c r="A56" t="inlineStr">
        <is>
          <t>ĐÍNH CHÍNH NHẬN ĐỊNH TRƯỚC ĐÓ VỀ FY27F</t>
        </is>
      </c>
      <c r="B56" s="5" t="n"/>
    </row>
    <row r="57">
      <c r="A57" s="6" t="inlineStr">
        <is>
          <t>Nhận định cũ</t>
        </is>
      </c>
      <c r="B57" s="6" t="inlineStr">
        <is>
          <t>thu nhập tài chính 558 -&gt; 1,004 là điểm yếu nhất, không có lý do</t>
        </is>
      </c>
      <c r="C57" s="6" t="n"/>
      <c r="D57" s="6" t="inlineStr">
        <is>
          <t>REJECTED</t>
        </is>
      </c>
    </row>
    <row r="58">
      <c r="A58" s="6" t="inlineStr">
        <is>
          <t>Bằng chứng mới</t>
        </is>
      </c>
      <c r="B58" s="6" t="inlineStr">
        <is>
          <t>FOX 1H26 đạt 7.64% trên cùng thước đo; FPT FY25 đạt 7.41%</t>
        </is>
      </c>
      <c r="C58" s="6" t="n"/>
      <c r="D58" s="6" t="inlineStr">
        <is>
          <t>COMPANY</t>
        </is>
      </c>
    </row>
    <row r="59">
      <c r="A59" s="6" t="inlineStr">
        <is>
          <t>Nhận định đúng</t>
        </is>
      </c>
      <c r="B59" s="6" t="inlineStr">
        <is>
          <t>FY26F 3.97% mới là số lạc; FY27F 4.89% là hồi về mức bình thường</t>
        </is>
      </c>
      <c r="C59" s="6" t="n"/>
      <c r="D59" s="6" t="inlineStr">
        <is>
          <t>DERIVED</t>
        </is>
      </c>
    </row>
    <row r="60">
      <c r="A60" s="6" t="inlineStr">
        <is>
          <t>Trên nền trừ FOX</t>
        </is>
      </c>
      <c r="B60" s="6" t="inlineStr">
        <is>
          <t>FY26F 5.40% / FY27F 6.53% — vẫn thấp hơn 7.4-7.6% quan sát được</t>
        </is>
      </c>
      <c r="C60" s="6" t="n"/>
      <c r="D60" s="6" t="inlineStr">
        <is>
          <t>DERIVED</t>
        </is>
      </c>
    </row>
    <row r="61">
      <c r="A61" s="6" t="inlineStr">
        <is>
          <t>Chiều rủi ro</t>
        </is>
      </c>
      <c r="B61" s="6" t="inlineStr">
        <is>
          <t>FY26F có thể đang thận trọng, không phải FY27F quá lạc quan</t>
        </is>
      </c>
      <c r="C61" s="6" t="n"/>
      <c r="D61" s="6" t="inlineStr">
        <is>
          <t>DERIVED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2026-07-28T07:08:55Z</dcterms:created>
  <dcterms:modified xmlns:dcterms="http://purl.org/dc/terms/" xmlns:xsi="http://www.w3.org/2001/XMLSchema-instance" xsi:type="dcterms:W3CDTF">2026-08-03T04:39:16Z</dcterms:modified>
</cp:coreProperties>
</file>