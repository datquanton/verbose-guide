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7"/>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row r="301">
      <c r="B301" s="13" t="inlineStr">
        <is>
          <t>STB — REVISION 05/08/2026 b (dự phòng FY27F +1,000, FY28F +2,000)</t>
        </is>
      </c>
    </row>
    <row r="302">
      <c r="A302" t="inlineStr">
        <is>
          <t>A8</t>
        </is>
      </c>
      <c r="B302" t="inlineStr">
        <is>
          <t>Trích thêm dự phòng FY27F và FY28F</t>
        </is>
      </c>
      <c r="C302" t="inlineStr">
        <is>
          <t>1,000 / 2,000</t>
        </is>
      </c>
      <c r="D302" t="inlineStr">
        <is>
          <t>VNDbn</t>
        </is>
      </c>
      <c r="E302" t="inlineStr">
        <is>
          <t>MAS</t>
        </is>
      </c>
      <c r="F302" t="inlineStr">
        <is>
          <t>Model!Z278 = -Z279+1000, AA278 = -AA279+2000 (trước đó = -Z279*1, -AA279*1)</t>
        </is>
      </c>
      <c r="G302"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303">
      <c r="A303" t="inlineStr">
        <is>
          <t>A9</t>
        </is>
      </c>
      <c r="B303" t="inlineStr">
        <is>
          <t>Chi phí dự phòng FY26F / FY27F / FY28F</t>
        </is>
      </c>
      <c r="C303" t="inlineStr">
        <is>
          <t>10202 / 10636 / 8982</t>
        </is>
      </c>
      <c r="D303" t="inlineStr">
        <is>
          <t>VNDbn</t>
        </is>
      </c>
      <c r="E303" t="inlineStr">
        <is>
          <t>MODEL</t>
        </is>
      </c>
      <c r="F303" t="inlineStr">
        <is>
          <t>Model!Y/Z/AA141</t>
        </is>
      </c>
      <c r="G303" t="inlineStr">
        <is>
          <t>FY27F từ 9,636 lên 10,636; FY28F từ 6,982 lên 8,982</t>
        </is>
      </c>
    </row>
    <row r="304">
      <c r="A304" t="inlineStr">
        <is>
          <t>A10</t>
        </is>
      </c>
      <c r="B304" t="inlineStr">
        <is>
          <t>LNTT FY27F / FY28F</t>
        </is>
      </c>
      <c r="C304" t="inlineStr">
        <is>
          <t>9872 / 15271</t>
        </is>
      </c>
      <c r="D304" t="inlineStr">
        <is>
          <t>VNDbn</t>
        </is>
      </c>
      <c r="E304" t="inlineStr">
        <is>
          <t>MODEL</t>
        </is>
      </c>
      <c r="F304" t="inlineStr">
        <is>
          <t>Model!Z144 / AA144</t>
        </is>
      </c>
      <c r="G304" t="inlineStr">
        <is>
          <t>FY27F từ 10,872 xuống 9872 (+32.3% CK, trước là +45.7%); FY28F từ 17,271 xuống 15271 (+54.7% CK, trước là +58.9%) — sát mục tiêu 50% CV đặt ở vòng trước</t>
        </is>
      </c>
    </row>
    <row r="305">
      <c r="A305" t="inlineStr">
        <is>
          <t>A11</t>
        </is>
      </c>
      <c r="B305" t="inlineStr">
        <is>
          <t>LNST / ROE FY27F / FY28F</t>
        </is>
      </c>
      <c r="C305" t="inlineStr">
        <is>
          <t>7686 / 11890</t>
        </is>
      </c>
      <c r="D305" t="inlineStr">
        <is>
          <t>VNDbn</t>
        </is>
      </c>
      <c r="E305" t="inlineStr">
        <is>
          <t>MODEL</t>
        </is>
      </c>
      <c r="F305" t="inlineStr">
        <is>
          <t>Model!Z153, AA153, Z314, AA314</t>
        </is>
      </c>
      <c r="G305" t="inlineStr">
        <is>
          <t>ROE FY27F 11.0% (từ 12.1%), FY28F 15.0% (từ 16.6%). Vốn chủ cuối FY28F 85305 tỷ, thấp hơn 2,336 tỷ so với bản trước do lợi nhuận giữ lại giảm</t>
        </is>
      </c>
    </row>
    <row r="306">
      <c r="A306" t="inlineStr">
        <is>
          <t>A12</t>
        </is>
      </c>
      <c r="B306" t="inlineStr">
        <is>
          <t>P/E, P/B FY27F / FY28F trên giá mục tiêu 75,000</t>
        </is>
      </c>
      <c r="C306" t="inlineStr">
        <is>
          <t>20.1 / 13.0 x</t>
        </is>
      </c>
      <c r="D306" t="inlineStr">
        <is>
          <t>x</t>
        </is>
      </c>
      <c r="E306" t="inlineStr">
        <is>
          <t>DERIVED</t>
        </is>
      </c>
      <c r="F306" t="inlineStr">
        <is>
          <t>EPS FY27F 3731, FY28F 5771 trên 2060 triệu cổ phiếu</t>
        </is>
      </c>
      <c r="G306" t="inlineStr">
        <is>
          <t>P/E FY27F từ 18.3 lên 20.1, FY28F từ 11.5 lên 13.0</t>
        </is>
      </c>
    </row>
    <row r="307">
      <c r="A307" t="inlineStr">
        <is>
          <t>G21</t>
        </is>
      </c>
      <c r="B307" t="inlineStr">
        <is>
          <t>Đỉnh dự phòng dời từ FY26F sang FY27F</t>
        </is>
      </c>
      <c r="E307" t="inlineStr">
        <is>
          <t>GAP</t>
        </is>
      </c>
      <c r="F307" t="inlineStr">
        <is>
          <t>Dự phòng 10202 / 10636 / 8982 trong khi xóa nợ 10,955 / 8,637 / 5,779</t>
        </is>
      </c>
      <c r="G307" t="inlineStr">
        <is>
          <t>Phần trích thêm đẩy chi phí FY27F vượt FY26F dù xóa nợ giảm 21%. Đây là hệ quả trực tiếp của yêu cầu, không phải lỗi, nhưng làm chậm câu chuyện hồi phục một năm</t>
        </is>
      </c>
    </row>
    <row r="308">
      <c r="A308" t="inlineStr">
        <is>
          <t>G22</t>
        </is>
      </c>
      <c r="B308" t="inlineStr">
        <is>
          <t>Bao phủ nợ xấu FY28F chạm ~100%</t>
        </is>
      </c>
      <c r="C308" t="inlineStr">
        <is>
          <t>51 / 71 / 105%</t>
        </is>
      </c>
      <c r="D308" t="inlineStr">
        <is>
          <t>%</t>
        </is>
      </c>
      <c r="E308" t="inlineStr">
        <is>
          <t>GAP</t>
        </is>
      </c>
      <c r="F308" t="inlineStr">
        <is>
          <t>Dự phòng đã trích 18926 / 20524 / 23305 trên nợ xấu 37157 / 28791 / 22290</t>
        </is>
      </c>
      <c r="G308"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309">
      <c r="A309" t="inlineStr">
        <is>
          <t>G23</t>
        </is>
      </c>
      <c r="B309" t="inlineStr">
        <is>
          <t>Đòn bẩy thay thế: hệ số 1.7x ở thu nhập khác FY28F</t>
        </is>
      </c>
      <c r="E309" t="inlineStr">
        <is>
          <t>GAP</t>
        </is>
      </c>
      <c r="F309" t="inlineStr">
        <is>
          <t>Model!AA129 = Z129/Z130*AA130*1.7 — thu hồi nợ đã xóa tăng 34% trong khi xóa nợ giảm 33% (8,637 -&gt; 5,779)</t>
        </is>
      </c>
      <c r="G309" t="inlineStr">
        <is>
          <t>CHƯA SỬA. Bỏ hệ số 1.7 sẽ hạ thu nhập khác FY28F 1,123 tỷ, tức cũng đạt mục tiêu hạ LNTT, nhưng kéo CIR FY28F từ 38.0% lên 39.1% nên phải giải lại hệ số chi phí</t>
        </is>
      </c>
    </row>
    <row r="310">
      <c r="A310" t="inlineStr">
        <is>
          <t>A13</t>
        </is>
      </c>
      <c r="B310" t="inlineStr">
        <is>
          <t>Slide dựng thẳng từ file model, không gõ tay</t>
        </is>
      </c>
      <c r="E310" t="inlineStr">
        <is>
          <t>MODEL</t>
        </is>
      </c>
      <c r="F310" t="inlineStr">
        <is>
          <t>model_read.py đọc FinModel_STB_2Q26.xlsx, tính lại các công thức dự án này đặt</t>
        </is>
      </c>
      <c r="G310" t="inlineStr">
        <is>
          <t>Trước đây các hằng số trên slide được chép tay từ workbook, mỗi vòng sửa là một lần chép lại. Nay update_stb_loans đọc thẳng. Cột FY26F đã được Excel tính lại nên dùng làm đối chứng: 9 dòng (chi phí HĐ, TOI, dự phòng, LNTT, LNST, vốn chủ, tổng tài sản, dự phòng đã trích, dư nợ) khớp tuyệt đối với cache của Excel</t>
        </is>
      </c>
    </row>
    <row r="311">
      <c r="A311" t="inlineStr">
        <is>
          <t>A14</t>
        </is>
      </c>
      <c r="B311" t="inlineStr">
        <is>
          <t>Sửa SLCP lưu hành và vốn hóa ở ô thông tin</t>
        </is>
      </c>
      <c r="C311" t="inlineStr">
        <is>
          <t>2,060 / 152,658</t>
        </is>
      </c>
      <c r="D311" t="inlineStr">
        <is>
          <t>triệu cp / tỷ đồng</t>
        </is>
      </c>
      <c r="E311" t="inlineStr">
        <is>
          <t>MODEL</t>
        </is>
      </c>
      <c r="F311" t="inlineStr">
        <is>
          <t>Vốn điều lệ 20,601.582 tỷ ('Balance sheet'!Y79) / mệnh giá 10,000 đồng; giá 74,100</t>
        </is>
      </c>
      <c r="G311" t="inlineStr">
        <is>
          <t>Ô thông tin ghi 1,885 triệu cp và vốn hóa 139,694 tỷ trong khi toàn bộ EPS, BVPS, P/E, P/B của bảng FY tính trên 2,060.158 triệu cp — chênh 9.3%. P/E 26F nếu tính trên 1,885 triệu cp sẽ là 24.3 chứ không phải 26.6. ĐÃ SỬA ô thông tin theo model</t>
        </is>
      </c>
    </row>
    <row r="312">
      <c r="A312" t="inlineStr">
        <is>
          <t>G15</t>
        </is>
      </c>
      <c r="B312" t="inlineStr">
        <is>
          <t>Giá mục tiêu STB vs sheet Valuation</t>
        </is>
      </c>
      <c r="C312" t="inlineStr">
        <is>
          <t>75,000 vs ~46,500</t>
        </is>
      </c>
      <c r="D312" t="inlineStr">
        <is>
          <t>VND</t>
        </is>
      </c>
      <c r="E312" t="inlineStr">
        <is>
          <t>CONFLICT</t>
        </is>
      </c>
      <c r="F312" t="inlineStr">
        <is>
          <t>Valuation: P/B hợp lý (ROE 12.1% - 2.5%) / (10.01% - 2.5%) = 1.29x x BPS 36,014</t>
        </is>
      </c>
      <c r="G312" t="inlineStr">
        <is>
          <t>ROE FY27F nay chỉ còn 11.0% nên P/B hợp lý tính lại còn thấp hơn nữa. CHƯA ĐỊNH GIÁ LẠI</t>
        </is>
      </c>
    </row>
    <row r="314">
      <c r="B314" s="13" t="inlineStr">
        <is>
          <t>STB — REVISION 06/08/2026 (SLCP lưu hành 1,885.216 triệu)</t>
        </is>
      </c>
    </row>
    <row r="315">
      <c r="A315" t="inlineStr">
        <is>
          <t>A15</t>
        </is>
      </c>
      <c r="B315" t="inlineStr">
        <is>
          <t>SLCP lưu hành</t>
        </is>
      </c>
      <c r="C315" t="inlineStr">
        <is>
          <t>1885.2157</t>
        </is>
      </c>
      <c r="D315" t="inlineStr">
        <is>
          <t>triệu cp</t>
        </is>
      </c>
      <c r="E315" t="inlineStr">
        <is>
          <t>MODEL</t>
        </is>
      </c>
      <c r="F315" t="inlineStr">
        <is>
          <t>'Balance sheet'!Y80 vốn điều lệ 18,852.157 tỷ / mệnh giá 10,000 đồng</t>
        </is>
      </c>
      <c r="G315" t="inlineStr">
        <is>
          <t>SỬA LẠI A14. A14 lấy nhầm Y79 (20,601.582 tỷ) — đó là toàn bộ "Vốn của TCTD", gồm vốn điều lệ 18,852.157 + thặng dư vốn cổ phần 1,747.651 + vốn khác 1.774. Chia dòng đó cho mệnh giá là tính thặng dư vốn thành cổ phiếu, thổi SLCP lên 9.3%. Vốn điều lệ là Y80. CV chỉ ra chỗ này</t>
        </is>
      </c>
    </row>
    <row r="316">
      <c r="A316" t="inlineStr">
        <is>
          <t>A16</t>
        </is>
      </c>
      <c r="B316" t="inlineStr">
        <is>
          <t>EPS và BVPS tính lại toàn bộ 6 cột</t>
        </is>
      </c>
      <c r="C316" t="inlineStr">
        <is>
          <t>EPS 3081 / 4077 / 6307</t>
        </is>
      </c>
      <c r="D316" t="inlineStr">
        <is>
          <t>VND</t>
        </is>
      </c>
      <c r="E316" t="inlineStr">
        <is>
          <t>DERIVED</t>
        </is>
      </c>
      <c r="F316" t="inlineStr">
        <is>
          <t>LNST và vốn chủ chia 1885.2157 triệu cp thay vì 2,060.158</t>
        </is>
      </c>
      <c r="G316" t="inlineStr">
        <is>
          <t>Không chỉ dự phóng: cột FY23-FY25 trên slide cũng đang tính theo 2,060.158. EPS FY25 từ 2,883 lên 3150, FY24 từ 4,896 lên 5351, FY23 từ 3,747 lên 4094. BVPS FY25 từ 29,059 lên 31756. Mọi dòng /cp trên bảng FY đều tăng 9.3%</t>
        </is>
      </c>
    </row>
    <row r="317">
      <c r="A317" t="inlineStr">
        <is>
          <t>A17</t>
        </is>
      </c>
      <c r="B317" t="inlineStr">
        <is>
          <t>P/E và P/B tính lại trên giá mục tiêu 75,000</t>
        </is>
      </c>
      <c r="C317" t="inlineStr">
        <is>
          <t>P/E 24.3 / 18.4 / 11.9</t>
        </is>
      </c>
      <c r="D317" t="inlineStr">
        <is>
          <t>x</t>
        </is>
      </c>
      <c r="E317" t="inlineStr">
        <is>
          <t>DERIVED</t>
        </is>
      </c>
      <c r="F317" t="inlineStr">
        <is>
          <t>Giá mục tiêu 75,000 chia EPS và BVPS mới</t>
        </is>
      </c>
      <c r="G317" t="inlineStr">
        <is>
          <t>P/E 26F từ 26.6 về 24.3, 27F từ 20.1 về 18.4, 28F từ 13.0 về 11.9. P/B 26F từ 2.4 về 2.2. Định giá rẻ đi 9.3% trên mọi năm — không phải do dự phóng thay đổi mà do mẫu số trước đây sai</t>
        </is>
      </c>
    </row>
    <row r="318">
      <c r="A318" t="inlineStr">
        <is>
          <t>A18</t>
        </is>
      </c>
      <c r="B318" t="inlineStr">
        <is>
          <t>Vốn hóa và SLCP ở ô thông tin</t>
        </is>
      </c>
      <c r="C318" t="inlineStr">
        <is>
          <t>139,694 / 1,885</t>
        </is>
      </c>
      <c r="D318" t="inlineStr">
        <is>
          <t>tỷ đồng / triệu cp</t>
        </is>
      </c>
      <c r="E318" t="inlineStr">
        <is>
          <t>DERIVED</t>
        </is>
      </c>
      <c r="F318" t="inlineStr">
        <is>
          <t>Giá 74,100 x 1885.2157 triệu cp</t>
        </is>
      </c>
      <c r="G318" t="inlineStr">
        <is>
          <t>Trả về đúng giá trị ban đầu của ô. Ô thông tin vốn dĩ đã đúng; bảng FY mới là chỗ sai, và nay đã khớp</t>
        </is>
      </c>
    </row>
    <row r="319">
      <c r="A319" t="inlineStr">
        <is>
          <t>G24</t>
        </is>
      </c>
      <c r="B319" t="inlineStr">
        <is>
          <t>Ảnh hưởng tới sheet Valuation</t>
        </is>
      </c>
      <c r="E319" t="inlineStr">
        <is>
          <t>GAP</t>
        </is>
      </c>
      <c r="F319" t="inlineStr">
        <is>
          <t>Valuation dùng BPS FY27F 36,014 (theo 2,060.158 triệu cp); nay BPS FY27F là 38943</t>
        </is>
      </c>
      <c r="G319" t="inlineStr">
        <is>
          <t>CHƯA TÍNH LẠI. Giá hợp lý = P/B hợp lý x BPS, nên BPS tăng 9.3%% thì giá hợp lý từ ~46,500 lên ~50,800 — khoảng cách với giá mục tiêu 75,000 thu hẹp nhưng vẫn còn</t>
        </is>
      </c>
    </row>
    <row r="321">
      <c r="B321" s="13" t="inlineStr">
        <is>
          <t>STB — REVISION 06/08/2026 b (sheet Valuation về 75,000)</t>
        </is>
      </c>
    </row>
    <row r="322">
      <c r="A322" t="inlineStr">
        <is>
          <t>A19</t>
        </is>
      </c>
      <c r="B322" t="inlineStr">
        <is>
          <t>Sheet Valuation cho giá 75,000</t>
        </is>
      </c>
      <c r="C322" t="inlineStr">
        <is>
          <t>75000</t>
        </is>
      </c>
      <c r="D322" t="inlineStr">
        <is>
          <t>VND</t>
        </is>
      </c>
      <c r="E322" t="inlineStr">
        <is>
          <t>MAS</t>
        </is>
      </c>
      <c r="F322" t="inlineStr">
        <is>
          <t>Valuation!D74 = 50% mô hình P/B + 50% mô hình thu nhập thặng dư</t>
        </is>
      </c>
      <c r="G322" t="inlineStr">
        <is>
          <t>Trước là 51,600 (P/B 40,400 và RI 62,800). ĐÓNG G15 — sheet định giá và giá mục tiêu trên slide nay là một. Model!AI1 đọc D74 nên P/E, P/B trong model cũng về đúng cơ sở của slide</t>
        </is>
      </c>
    </row>
    <row r="323">
      <c r="A323" t="inlineStr">
        <is>
          <t>A20</t>
        </is>
      </c>
      <c r="B323" t="inlineStr">
        <is>
          <t>Chân P/B chuyển từ FY27F sang FY28F</t>
        </is>
      </c>
      <c r="C323" t="inlineStr">
        <is>
          <t>1.744x x 45249</t>
        </is>
      </c>
      <c r="D323" t="inlineStr">
        <is>
          <t>x, VND</t>
        </is>
      </c>
      <c r="E323" t="inlineStr">
        <is>
          <t>MAS</t>
        </is>
      </c>
      <c r="F323" t="inlineStr">
        <is>
          <t>Thêm cột K: K6=Model!AA314, K15=Model!AA941, K14=(K6-$B$7)/($B$9-$B$7); B71=K16</t>
        </is>
      </c>
      <c r="G323" t="inlineStr">
        <is>
          <t>FY27F còn đang giữa chu kỳ xử lý nợ, ROE 11.0%, nên định giá trên năm đó là định giá một ngân hàng chưa xong việc. Luận điểm của slide là hồi phục rơi vào FY28F, năm định giá nên là chính năm đó. Chân P/B: 45,500 (FY27F) -&gt; 78900</t>
        </is>
      </c>
    </row>
    <row r="324">
      <c r="A324" t="inlineStr">
        <is>
          <t>A21</t>
        </is>
      </c>
      <c r="B324" t="inlineStr">
        <is>
          <t>Beta 1.05 -&gt; 1.02</t>
        </is>
      </c>
      <c r="C324" t="inlineStr">
        <is>
          <t>1.02</t>
        </is>
      </c>
      <c r="E324" t="inlineStr">
        <is>
          <t>MAS</t>
        </is>
      </c>
      <c r="F324" t="inlineStr">
        <is>
          <t>Valuation!B11; chi phí vốn CSH = 4.30% + beta x 5.25% = 9.655%</t>
        </is>
      </c>
      <c r="G324" t="inlineStr">
        <is>
          <t>ĐÂY LÀ SỐ GIẢI NGƯỢC TỪ GIÁ MỤC TIÊU 75,000, không phải beta ước lượng từ dữ liệu. Chỉ đổi năm định giá sang FY28F mà giữ beta 1.05 thì D74 ra 73,200, thấp hơn mục tiêu 2.4%. Cần ghi nhận đây là điểm yếu của lập luận định giá</t>
        </is>
      </c>
    </row>
    <row r="325">
      <c r="A325" t="inlineStr">
        <is>
          <t>A22</t>
        </is>
      </c>
      <c r="B325" t="inlineStr">
        <is>
          <t>Dòng ngày của mô hình RI dời sang 2026-2028</t>
        </is>
      </c>
      <c r="E325" t="inlineStr">
        <is>
          <t>MODEL</t>
        </is>
      </c>
      <c r="F325" t="inlineStr">
        <is>
          <t>Valuation!J47:L47 = 46,387 / 46,752 / 47,118 (31/12/2026, 2027, 2028)</t>
        </is>
      </c>
      <c r="G325" t="inlineStr">
        <is>
          <t>Trước là 31/12/2025, 31/12/2026 và 01/12/2028. J48=DATEDIF(TODAY(),J47) sẽ ra #NUM! khi Excel tính lại vì mốc đã ở quá khứ, kéo sập cả chân RI. Lưu ý hệ số chiết khấu trôi theo ngày mở file: các số ở đây tính theo ngày 06/08/2026</t>
        </is>
      </c>
    </row>
    <row r="326">
      <c r="A326" t="inlineStr">
        <is>
          <t>A23</t>
        </is>
      </c>
      <c r="B326" t="inlineStr">
        <is>
          <t>SLCP trong model về vốn điều lệ</t>
        </is>
      </c>
      <c r="C326" t="inlineStr">
        <is>
          <t>1,885.2157</t>
        </is>
      </c>
      <c r="D326" t="inlineStr">
        <is>
          <t>triệu cp</t>
        </is>
      </c>
      <c r="E326" t="inlineStr">
        <is>
          <t>MODEL</t>
        </is>
      </c>
      <c r="F326" t="inlineStr">
        <is>
          <t>Model!934 cột T:AA và CT = 'Balance sheet'!$Y$80*100/1000</t>
        </is>
      </c>
      <c r="G326" t="inlineStr">
        <is>
          <t>Model!934 đang lấy dòng 87 (Vốn của TCTD 20,601.582 tỷ) chia mệnh giá. Sửa dòng này là sửa luôn EPS (938), P/E (940), BVPS (941), P/B (942) của model — sheet Valuation đọc 938 và 941 nên trước đó cũng sai theo. Cột F:S giữ nguyên: đó là chuỗi vốn điều lệ lịch sử thay đổi theo năm, không nằm trên slide</t>
        </is>
      </c>
    </row>
    <row r="327">
      <c r="A327" t="inlineStr">
        <is>
          <t>G25</t>
        </is>
      </c>
      <c r="B327" t="inlineStr">
        <is>
          <t>Chân RI phụ thuộc giá trị cuối kỳ</t>
        </is>
      </c>
      <c r="C327" t="inlineStr">
        <is>
          <t>35155/71000</t>
        </is>
      </c>
      <c r="D327" t="inlineStr">
        <is>
          <t>VND</t>
        </is>
      </c>
      <c r="E327" t="inlineStr">
        <is>
          <t>GAP</t>
        </is>
      </c>
      <c r="F327" t="inlineStr">
        <is>
          <t>PV giá trị cuối kỳ 35155 trên tổng 71000 của chân RI</t>
        </is>
      </c>
      <c r="G327" t="inlineStr">
        <is>
          <t>Giá trị cuối kỳ chiếm 50% chân RI, vốn hoá RI FY28F 2,547 đồng/cp với g=2.5%. Toàn bộ chân này đứng trên giả định STB duy trì được ROE hậu tái cơ cấu vĩnh viễn</t>
        </is>
      </c>
    </row>
    <row r="329">
      <c r="B329" s="13" t="inlineStr">
        <is>
          <t>STB — REVISION 06/08/2026 c (tăng trưởng tín dụng FY26F 8%)</t>
        </is>
      </c>
    </row>
    <row r="330">
      <c r="A330" t="inlineStr">
        <is>
          <t>A24</t>
        </is>
      </c>
      <c r="B330" t="inlineStr">
        <is>
          <t>Tăng trưởng tín dụng FY26F</t>
        </is>
      </c>
      <c r="C330" t="inlineStr">
        <is>
          <t>8.0%</t>
        </is>
      </c>
      <c r="D330" t="inlineStr">
        <is>
          <t>%</t>
        </is>
      </c>
      <c r="E330" t="inlineStr">
        <is>
          <t>MAS</t>
        </is>
      </c>
      <c r="F330" t="inlineStr">
        <is>
          <t>Model!Y515:Y520 = X5xx*$X$450/$X$521*1.08; dư nợ 676504 tỷ</t>
        </is>
      </c>
      <c r="G330" t="inlineStr">
        <is>
          <t>Từ 2.3%. 1H26 thực hiện 1.5% nên 2H26 phải tăng 6.4% — giả định STB dùng tới phần room tín dụng chưa dùng. FY27F 759746, FY28F 870743 tỷ đồng (giữ nguyên tốc độ tăng theo phân khúc, dòng 533-538)</t>
        </is>
      </c>
    </row>
    <row r="331">
      <c r="A331" t="inlineStr">
        <is>
          <t>A25</t>
        </is>
      </c>
      <c r="B331" t="inlineStr">
        <is>
          <t>Sửa nền dư nợ FY25 của khối phân khúc</t>
        </is>
      </c>
      <c r="C331" t="inlineStr">
        <is>
          <t>593,591 -&gt; 626,392</t>
        </is>
      </c>
      <c r="D331" t="inlineStr">
        <is>
          <t>VNDbn</t>
        </is>
      </c>
      <c r="E331" t="inlineStr">
        <is>
          <t>MODEL</t>
        </is>
      </c>
      <c r="F331" t="inlineStr">
        <is>
          <t>Model!X521 (cộng dồn dòng 515:520) so với X450 = Note!T79 (số báo cáo)</t>
        </is>
      </c>
      <c r="G331" t="inlineStr">
        <is>
          <t>Khối 515:520 được đẩy từ FY24 sang bằng tốc độ tăng chứ không lấy số thực, nên đã lệch 5.2% dưới dư nợ báo cáo. Đây chính là lý do tốc độ tăng 7.9% ghi trong model lâu nay chỉ ra 2.3% trên nền báo cáo. Nay rebase trước khi tăng, nên hệ số 1.08 trong công thức đúng bằng con số hiển thị trên slide</t>
        </is>
      </c>
    </row>
    <row r="332">
      <c r="A332" t="inlineStr">
        <is>
          <t>A26</t>
        </is>
      </c>
      <c r="B332" t="inlineStr">
        <is>
          <t>Dòng 23-28 chuyển từ số cứng sang công thức</t>
        </is>
      </c>
      <c r="E332" t="inlineStr">
        <is>
          <t>MODEL</t>
        </is>
      </c>
      <c r="F332" t="inlineStr">
        <is>
          <t>Model!Y/Z/AA23:28 = Y/Z/AA515:520</t>
        </is>
      </c>
      <c r="G332" t="inlineStr">
        <is>
          <t>Trước đây là số dán tay. Nếu không sửa thì dòng 20 (dư nợ trên bảng CĐKT) không đi theo dòng 521 và ô kiểm tra 205 sẽ lệch</t>
        </is>
      </c>
    </row>
    <row r="333">
      <c r="A333" t="inlineStr">
        <is>
          <t>A27</t>
        </is>
      </c>
      <c r="B333" t="inlineStr">
        <is>
          <t>NII / TOI / LNTT FY26F</t>
        </is>
      </c>
      <c r="C333" t="inlineStr">
        <is>
          <t>26084 / 32034 / 7573</t>
        </is>
      </c>
      <c r="D333" t="inlineStr">
        <is>
          <t>VNDbn</t>
        </is>
      </c>
      <c r="E333" t="inlineStr">
        <is>
          <t>MODEL</t>
        </is>
      </c>
      <c r="F333" t="inlineStr">
        <is>
          <t>Model!Y121 / Y117 / Y144</t>
        </is>
      </c>
      <c r="G333" t="inlineStr">
        <is>
          <t>NII từ 24,531 lên 26084 (+1,554). LNTT từ 7,461 lên 7573 (-0.7% CK, thấp hơn kế hoạch 6.5%). LNTT FY27F 11417 (+51%), FY28F 17229 (+51%) — cả hai năm quanh 51%, sát mục tiêu 50% CV đặt</t>
        </is>
      </c>
    </row>
    <row r="334">
      <c r="A334" t="inlineStr">
        <is>
          <t>A28</t>
        </is>
      </c>
      <c r="B334" t="inlineStr">
        <is>
          <t>Giữ lộ trình CIR, giải lại hệ số chi phí</t>
        </is>
      </c>
      <c r="C334" t="inlineStr">
        <is>
          <t>42.1 / 40.0 / 38.0%</t>
        </is>
      </c>
      <c r="D334" t="inlineStr">
        <is>
          <t>%</t>
        </is>
      </c>
      <c r="E334" t="inlineStr">
        <is>
          <t>MAS</t>
        </is>
      </c>
      <c r="F334" t="inlineStr">
        <is>
          <t>Model!Y/Z/AA132,134 = 1.0296 / 1.0923 / 1.0773 (trước là 0.9647 / 1.0279 / 1.0829)</t>
        </is>
      </c>
      <c r="G334" t="inlineStr">
        <is>
          <t>TOI tăng nên nếu giữ nguyên chi phí thì CIR tự rơi về 40.0 / 36.3 / 34.6% — thay đổi âm thầm còn lớn hơn. Giữ lộ trình 42.1/40/38% CV đã đặt: chi phí FY26F lên 13487 tỷ, tức 2H26 7254 tỷ so với 6,233 tỷ của 1H26 (+16.4%)</t>
        </is>
      </c>
    </row>
    <row r="335">
      <c r="A335" t="inlineStr">
        <is>
          <t>A29</t>
        </is>
      </c>
      <c r="B335" t="inlineStr">
        <is>
          <t>Beta định giá 1.02 -&gt; 1.222</t>
        </is>
      </c>
      <c r="C335" t="inlineStr">
        <is>
          <t>1.222</t>
        </is>
      </c>
      <c r="E335" t="inlineStr">
        <is>
          <t>MAS</t>
        </is>
      </c>
      <c r="F335" t="inlineStr">
        <is>
          <t>Valuation!B11; chi phí vốn CSH 10.715%; D74 vẫn 75000</t>
        </is>
      </c>
      <c r="G335" t="inlineStr">
        <is>
          <t>Trên nền dư nợ 8%, để beta 1.02 thì mô hình ra 86,900 — cao hơn giá mục tiêu. Beta phải nâng lên 1.222 mới về đúng 75,000. Vẫn là số giải ngược, nhưng beta 1.22 cho một ngân hàng đang tái cơ cấu dễ bảo vệ hơn 1.02. Nói cách khác giá mục tiêu 75,000 nay là mức thận trọng so với chính mô hình</t>
        </is>
      </c>
    </row>
    <row r="336">
      <c r="A336" t="inlineStr">
        <is>
          <t>G26</t>
        </is>
      </c>
      <c r="B336" t="inlineStr">
        <is>
          <t>Tăng trưởng tín dụng không tốn chi phí vốn trong model</t>
        </is>
      </c>
      <c r="E336" t="inlineStr">
        <is>
          <t>GAP</t>
        </is>
      </c>
      <c r="F336" t="inlineStr">
        <is>
          <t>Model!Y55 (tài sản khác) = Y102 trừ các khoản mục còn lại — đây là ô cân đối</t>
        </is>
      </c>
      <c r="G336" t="inlineStr">
        <is>
          <t>Dư nợ tăng được tài trợ bằng cách rút tài sản khác không sinh lãi, không phải bằng huy động: tiền gửi (dòng 647) chạy theo tốc độ riêng nên chi phí lãi không đổi. Thu nhập lãi tăng 1,554 tỷ FY26F mà không có phần bù. Thực tế phải huy động với chi phí ~4.4%%, nên phần tăng NII này là mức trần chứ không phải kỳ vọng</t>
        </is>
      </c>
    </row>
    <row r="337">
      <c r="A337" t="inlineStr">
        <is>
          <t>G27</t>
        </is>
      </c>
      <c r="B337" t="inlineStr">
        <is>
          <t>Bao phủ nợ xấu FY26F giảm về 48.6%</t>
        </is>
      </c>
      <c r="C337" t="inlineStr">
        <is>
          <t>48.6%</t>
        </is>
      </c>
      <c r="D337" t="inlineStr">
        <is>
          <t>%</t>
        </is>
      </c>
      <c r="E337" t="inlineStr">
        <is>
          <t>GAP</t>
        </is>
      </c>
      <c r="F337" t="inlineStr">
        <is>
          <t>Dự phòng 19085 trên nợ xấu 39237 (5.8% của 676504)</t>
        </is>
      </c>
      <c r="G337" t="inlineStr">
        <is>
          <t>Từ 50.9% xuống 48.6%: nợ xấu 5.8% tính trên mẫu số lớn hơn trong khi dự phòng chỉ trích đủ bù xóa nợ. Nếu CV muốn giữ 50% thì phải nâng tỷ lệ trích Model!Y278 và LNTT FY26F sẽ giảm tương ứng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2026-08-06T07:37:00Z</dcterms:modified>
</cp:coreProperties>
</file>