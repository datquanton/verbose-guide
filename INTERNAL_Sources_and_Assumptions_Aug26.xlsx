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  <row r="155">
      <c r="A155" t="inlineStr">
        <is>
          <t>FPT — LỘ TRÌNH +14.6% / +15.2% / +15.7% (chỉ đạo của analyst)</t>
        </is>
      </c>
      <c r="B155" s="5" t="n"/>
    </row>
    <row r="156">
      <c r="A156" s="6" t="inlineStr">
        <is>
          <t>Yêu cầu</t>
        </is>
      </c>
      <c r="B156" s="6" t="inlineStr">
        <is>
          <t>LNST-CĐTS FY26/27/28 tăng +14.6% / +15.2% / +15.7%</t>
        </is>
      </c>
      <c r="C156" s="6" t="n"/>
      <c r="D156" s="6" t="inlineStr">
        <is>
          <t>ANALYST</t>
        </is>
      </c>
    </row>
    <row r="157">
      <c r="A157" s="6" t="inlineStr">
        <is>
          <t>Lưu ý đã nêu</t>
        </is>
      </c>
      <c r="B157" s="6" t="inlineStr">
        <is>
          <t>lộ trình này tăng tốc trở lại — đúng hình dạng đã cảnh báo ở vòng trước</t>
        </is>
      </c>
      <c r="C157" s="6" t="n"/>
      <c r="D157" s="6" t="inlineStr">
        <is>
          <t>MAS</t>
        </is>
      </c>
    </row>
    <row r="158">
      <c r="A158" s="6" t="inlineStr">
        <is>
          <t>Nguyên tắc khi thực hiện</t>
        </is>
      </c>
      <c r="B158" s="6" t="inlineStr">
        <is>
          <t>KHÔNG nhét chênh lệch vào dòng SG&amp;A; phải có giả định cụ thể gánh</t>
        </is>
      </c>
      <c r="C158" s="6" t="n"/>
      <c r="D158" s="6" t="inlineStr">
        <is>
          <t>MAS</t>
        </is>
      </c>
    </row>
    <row r="159">
      <c r="A159" t="inlineStr">
        <is>
          <t>Cần gì để đạt (đã thử từng phương án)</t>
        </is>
      </c>
      <c r="B159" s="5" t="inlineStr">
        <is>
          <t>FY27F</t>
        </is>
      </c>
      <c r="C159" t="inlineStr">
        <is>
          <t>FY28F</t>
        </is>
      </c>
    </row>
    <row r="160">
      <c r="A160" s="6" t="inlineStr">
        <is>
          <t>Chỉ dùng CNTT nước ngoài (LK +14%, SG&amp;A phẳng)</t>
        </is>
      </c>
      <c r="B160" s="6" t="inlineStr">
        <is>
          <t>+16.5%</t>
        </is>
      </c>
      <c r="C160" s="6" t="inlineStr">
        <is>
          <t>+18.9%</t>
        </is>
      </c>
      <c r="D160" s="6" t="inlineStr">
        <is>
          <t>REJECTED — quá cao</t>
        </is>
      </c>
    </row>
    <row r="161">
      <c r="A161" s="6" t="inlineStr">
        <is>
          <t>Thêm LK lên +16%</t>
        </is>
      </c>
      <c r="B161" s="6" t="inlineStr">
        <is>
          <t>+15.4%</t>
        </is>
      </c>
      <c r="C161" s="6" t="inlineStr">
        <is>
          <t>+17.9%</t>
        </is>
      </c>
      <c r="D161" s="6" t="inlineStr">
        <is>
          <t>REJECTED</t>
        </is>
      </c>
    </row>
    <row r="162">
      <c r="A162" s="6" t="inlineStr">
        <is>
          <t>Thêm LK lên +18%</t>
        </is>
      </c>
      <c r="B162" s="6" t="inlineStr">
        <is>
          <t>+14.2%</t>
        </is>
      </c>
      <c r="C162" s="6" t="inlineStr">
        <is>
          <t>+16.7%</t>
        </is>
      </c>
      <c r="D162" s="6" t="inlineStr">
        <is>
          <t>REJECTED — LK +18% không có căn cứ</t>
        </is>
      </c>
    </row>
    <row r="163">
      <c r="A163" s="6" t="inlineStr">
        <is>
          <t>Chỉ dùng đòn bẩy SG&amp;A</t>
        </is>
      </c>
      <c r="B163" s="6" t="inlineStr">
        <is>
          <t>17.461%</t>
        </is>
      </c>
      <c r="C163" s="6" t="inlineStr">
        <is>
          <t>17.050%</t>
        </is>
      </c>
      <c r="D163" s="6" t="inlineStr">
        <is>
          <t>REJECTED — nén 58bp, chính là lỗi cũ</t>
        </is>
      </c>
    </row>
    <row r="164">
      <c r="A164" s="6" t="inlineStr">
        <is>
          <t>ĐÃ CHỌN — chia đều 3 đòn bẩy</t>
        </is>
      </c>
      <c r="B164" s="6" t="n"/>
      <c r="C164" s="6" t="n"/>
      <c r="D164" s="6" t="inlineStr">
        <is>
          <t>MAS</t>
        </is>
      </c>
    </row>
    <row r="165">
      <c r="A165" t="inlineStr">
        <is>
          <t>Giả định cuối cùng</t>
        </is>
      </c>
      <c r="B165" s="5" t="inlineStr">
        <is>
          <t>FY26F</t>
        </is>
      </c>
      <c r="C165" t="inlineStr">
        <is>
          <t>FY27F</t>
        </is>
      </c>
      <c r="D165" t="inlineStr">
        <is>
          <t>FY28F</t>
        </is>
      </c>
    </row>
    <row r="166">
      <c r="A166" s="6" t="inlineStr">
        <is>
          <t>CNTT nước ngoài</t>
        </is>
      </c>
      <c r="B166" s="6" t="inlineStr">
        <is>
          <t>+14.67%</t>
        </is>
      </c>
      <c r="C166" s="6" t="inlineStr">
        <is>
          <t>+15.5%</t>
        </is>
      </c>
      <c r="D166" s="6" t="inlineStr">
        <is>
          <t>+16.0%</t>
        </is>
      </c>
    </row>
    <row r="167">
      <c r="A167" s="6" t="inlineStr">
        <is>
          <t xml:space="preserve">  (1H26 thực hiện +13.4%; model gốc +16.7%/+17.7%)</t>
        </is>
      </c>
      <c r="B167" s="6" t="n"/>
      <c r="C167" s="6" t="n"/>
      <c r="D167" s="6" t="inlineStr">
        <is>
          <t>COMPANY</t>
        </is>
      </c>
    </row>
    <row r="168">
      <c r="A168" s="6" t="inlineStr">
        <is>
          <t>CNTT trong nước</t>
        </is>
      </c>
      <c r="B168" s="6" t="inlineStr">
        <is>
          <t>+12%</t>
        </is>
      </c>
      <c r="C168" s="6" t="inlineStr">
        <is>
          <t>+12%</t>
        </is>
      </c>
      <c r="D168" s="6" t="inlineStr">
        <is>
          <t>+12%</t>
        </is>
      </c>
    </row>
    <row r="169">
      <c r="A169" s="6" t="inlineStr">
        <is>
          <t>Giáo dục, đầu tư &amp; khác</t>
        </is>
      </c>
      <c r="B169" s="6" t="inlineStr">
        <is>
          <t>+5%</t>
        </is>
      </c>
      <c r="C169" s="6" t="inlineStr">
        <is>
          <t>+5%</t>
        </is>
      </c>
      <c r="D169" s="6" t="inlineStr">
        <is>
          <t>+5%</t>
        </is>
      </c>
    </row>
    <row r="170">
      <c r="A170" s="6" t="inlineStr">
        <is>
          <t>Công ty liên kết</t>
        </is>
      </c>
      <c r="B170" s="6" t="inlineStr">
        <is>
          <t>+14%</t>
        </is>
      </c>
      <c r="C170" s="6" t="inlineStr">
        <is>
          <t>+16%</t>
        </is>
      </c>
      <c r="D170" s="6" t="inlineStr">
        <is>
          <t>+16%</t>
        </is>
      </c>
    </row>
    <row r="171">
      <c r="A171" s="6" t="inlineStr">
        <is>
          <t xml:space="preserve">  (FOX 1H26 +13.9%; FRT/Long Chau tăng nhanh hơn)</t>
        </is>
      </c>
      <c r="B171" s="6" t="n"/>
      <c r="C171" s="6" t="n"/>
      <c r="D171" s="6" t="inlineStr">
        <is>
          <t>ANALYST</t>
        </is>
      </c>
    </row>
    <row r="172">
      <c r="A172" s="6" t="inlineStr">
        <is>
          <t>Biên lợi nhuận gộp</t>
        </is>
      </c>
      <c r="B172" s="6" t="inlineStr">
        <is>
          <t>32.448%</t>
        </is>
      </c>
      <c r="C172" s="6" t="inlineStr">
        <is>
          <t>32.448%</t>
        </is>
      </c>
      <c r="D172" s="6" t="inlineStr">
        <is>
          <t>32.448%</t>
        </is>
      </c>
    </row>
    <row r="173">
      <c r="A173" s="6" t="inlineStr">
        <is>
          <t>CPBH+QL / doanh thu</t>
        </is>
      </c>
      <c r="B173" s="6" t="inlineStr">
        <is>
          <t>17.631%</t>
        </is>
      </c>
      <c r="C173" s="6" t="inlineStr">
        <is>
          <t>17.644%</t>
        </is>
      </c>
      <c r="D173" s="6" t="inlineStr">
        <is>
          <t>17.472%</t>
        </is>
      </c>
    </row>
    <row r="174">
      <c r="A174" s="6" t="inlineStr">
        <is>
          <t xml:space="preserve">  (biên độ 16bp quanh mức 1H26 — không phải đòn bẩy)</t>
        </is>
      </c>
      <c r="B174" s="6" t="n"/>
      <c r="C174" s="6" t="n"/>
      <c r="D174" s="6" t="inlineStr">
        <is>
          <t>CHECK</t>
        </is>
      </c>
    </row>
    <row r="175">
      <c r="A175" s="6" t="inlineStr">
        <is>
          <t>Thuế ngoài phần liên kết</t>
        </is>
      </c>
      <c r="B175" s="6" t="inlineStr">
        <is>
          <t>15.55%</t>
        </is>
      </c>
      <c r="C175" s="6" t="inlineStr">
        <is>
          <t>15.55%</t>
        </is>
      </c>
      <c r="D175" s="6" t="inlineStr">
        <is>
          <t>15.55%</t>
        </is>
      </c>
    </row>
    <row r="176">
      <c r="A176" t="inlineStr">
        <is>
          <t>Kết quả</t>
        </is>
      </c>
      <c r="B176" s="5" t="inlineStr">
        <is>
          <t>FY26F</t>
        </is>
      </c>
      <c r="C176" t="inlineStr">
        <is>
          <t>FY27F</t>
        </is>
      </c>
      <c r="D176" t="inlineStr">
        <is>
          <t>FY28F</t>
        </is>
      </c>
    </row>
    <row r="177">
      <c r="A177" s="6" t="inlineStr">
        <is>
          <t>Doanh thu (tỷ đồng)</t>
        </is>
      </c>
      <c r="B177" s="6" t="inlineStr">
        <is>
          <t>57,195</t>
        </is>
      </c>
      <c r="C177" s="6" t="inlineStr">
        <is>
          <t>65,027</t>
        </is>
      </c>
      <c r="D177" s="6" t="inlineStr">
        <is>
          <t>74,232</t>
        </is>
      </c>
    </row>
    <row r="178">
      <c r="A178" s="6" t="inlineStr">
        <is>
          <t xml:space="preserve">  tăng trưởng</t>
        </is>
      </c>
      <c r="B178" s="6" t="inlineStr">
        <is>
          <t>—</t>
        </is>
      </c>
      <c r="C178" s="6" t="inlineStr">
        <is>
          <t>+13.7%</t>
        </is>
      </c>
      <c r="D178" s="6" t="inlineStr">
        <is>
          <t>+14.2%</t>
        </is>
      </c>
    </row>
    <row r="179">
      <c r="A179" s="6" t="inlineStr">
        <is>
          <t>LN hoạt động</t>
        </is>
      </c>
      <c r="B179" s="6" t="inlineStr">
        <is>
          <t>8,475</t>
        </is>
      </c>
      <c r="C179" s="6" t="inlineStr">
        <is>
          <t>9,626</t>
        </is>
      </c>
      <c r="D179" s="6" t="inlineStr">
        <is>
          <t>11,117</t>
        </is>
      </c>
    </row>
    <row r="180">
      <c r="A180" s="6" t="inlineStr">
        <is>
          <t>LN từ công ty liên kết</t>
        </is>
      </c>
      <c r="B180" s="6" t="inlineStr">
        <is>
          <t>2,847</t>
        </is>
      </c>
      <c r="C180" s="6" t="inlineStr">
        <is>
          <t>3,302</t>
        </is>
      </c>
      <c r="D180" s="6" t="inlineStr">
        <is>
          <t>3,831</t>
        </is>
      </c>
    </row>
    <row r="181">
      <c r="A181" s="6" t="inlineStr">
        <is>
          <t>Lãi tài chính thuần</t>
        </is>
      </c>
      <c r="B181" s="6" t="inlineStr">
        <is>
          <t>830</t>
        </is>
      </c>
      <c r="C181" s="6" t="inlineStr">
        <is>
          <t>1,068</t>
        </is>
      </c>
      <c r="D181" s="6" t="inlineStr">
        <is>
          <t>1,248</t>
        </is>
      </c>
    </row>
    <row r="182">
      <c r="A182" s="6" t="inlineStr">
        <is>
          <t>LNTT</t>
        </is>
      </c>
      <c r="B182" s="6" t="inlineStr">
        <is>
          <t>12,321</t>
        </is>
      </c>
      <c r="C182" s="6" t="inlineStr">
        <is>
          <t>14,189</t>
        </is>
      </c>
      <c r="D182" s="6" t="inlineStr">
        <is>
          <t>16,416</t>
        </is>
      </c>
    </row>
    <row r="183">
      <c r="A183" s="6" t="inlineStr">
        <is>
          <t>LNST-CĐTS</t>
        </is>
      </c>
      <c r="B183" s="6" t="inlineStr">
        <is>
          <t>10,848</t>
        </is>
      </c>
      <c r="C183" s="6" t="inlineStr">
        <is>
          <t>12,497</t>
        </is>
      </c>
      <c r="D183" s="6" t="inlineStr">
        <is>
          <t>14,459</t>
        </is>
      </c>
    </row>
    <row r="184">
      <c r="A184" s="6" t="inlineStr">
        <is>
          <t>Tăng trưởng</t>
        </is>
      </c>
      <c r="B184" s="6" t="inlineStr">
        <is>
          <t>+14.6%</t>
        </is>
      </c>
      <c r="C184" s="6" t="inlineStr">
        <is>
          <t>+15.2%</t>
        </is>
      </c>
      <c r="D184" s="6" t="inlineStr">
        <is>
          <t>+15.7%</t>
        </is>
      </c>
    </row>
    <row r="185">
      <c r="A185" s="6" t="inlineStr">
        <is>
          <t>EPS (1,810 triệu cp)</t>
        </is>
      </c>
      <c r="B185" s="6" t="inlineStr">
        <is>
          <t>5,993</t>
        </is>
      </c>
      <c r="C185" s="6" t="inlineStr">
        <is>
          <t>6,904</t>
        </is>
      </c>
      <c r="D185" s="6" t="inlineStr">
        <is>
          <t>7,988</t>
        </is>
      </c>
    </row>
    <row r="186">
      <c r="A186" s="6" t="inlineStr">
        <is>
          <t>P/E tại GMT 78,750</t>
        </is>
      </c>
      <c r="B186" s="6" t="inlineStr">
        <is>
          <t>13.1</t>
        </is>
      </c>
      <c r="C186" s="6" t="inlineStr">
        <is>
          <t>11.4</t>
        </is>
      </c>
      <c r="D186" s="6" t="inlineStr">
        <is>
          <t>9.9</t>
        </is>
      </c>
    </row>
    <row r="187">
      <c r="A187" s="6" t="inlineStr">
        <is>
          <t>Ô đã sửa</t>
        </is>
      </c>
      <c r="B187" s="6" t="inlineStr">
        <is>
          <t>Scenarios I11/J11, I45/J45; PL R19/S19, R20/S20, R42/S42</t>
        </is>
      </c>
      <c r="C187" s="6" t="n"/>
      <c r="D187" s="6" t="inlineStr">
        <is>
          <t>MAS</t>
        </is>
      </c>
    </row>
    <row r="188">
      <c r="A188" s="6" t="inlineStr">
        <is>
          <t>Kiểm tra tự động</t>
        </is>
      </c>
      <c r="B188" s="6" t="inlineStr">
        <is>
          <t>verify_model.py 14/14 + check_fpt.py 49/49 đạt</t>
        </is>
      </c>
      <c r="C188" s="6" t="n"/>
      <c r="D188" s="6" t="inlineStr">
        <is>
          <t>CHECK</t>
        </is>
      </c>
    </row>
    <row r="189">
      <c r="A189" t="inlineStr">
        <is>
          <t>RỦI RO CỦA LỘ TRÌNH NÀY — cần chuẩn bị khi bị hỏi</t>
        </is>
      </c>
      <c r="B189" s="5" t="n"/>
    </row>
    <row r="190">
      <c r="A190" s="6" t="inlineStr">
        <is>
          <t>R1 CNTT nước ngoài</t>
        </is>
      </c>
      <c r="B190" s="6" t="inlineStr">
        <is>
          <t>+16.0% FY28F so với +13.4% thực hiện 1H26 — cần dữ liệu backlog</t>
        </is>
      </c>
      <c r="C190" s="6" t="inlineStr">
        <is>
          <t>GAP</t>
        </is>
      </c>
      <c r="D190" s="6" t="inlineStr">
        <is>
          <t>ANALYST</t>
        </is>
      </c>
    </row>
    <row r="191">
      <c r="A191" s="6" t="inlineStr">
        <is>
          <t>R2 Liên kết +16%</t>
        </is>
      </c>
      <c r="B191" s="6" t="inlineStr">
        <is>
          <t>cao hơn FOX (+13.9%); phụ thuộc FRT — chưa có BCTC FRT để đối chiếu</t>
        </is>
      </c>
      <c r="C191" s="6" t="inlineStr">
        <is>
          <t>GAP</t>
        </is>
      </c>
      <c r="D191" s="6" t="inlineStr">
        <is>
          <t>ANALYST</t>
        </is>
      </c>
    </row>
    <row r="192">
      <c r="A192" s="6" t="inlineStr">
        <is>
          <t>R3 Giá mục tiêu</t>
        </is>
      </c>
      <c r="B192" s="6" t="inlineStr">
        <is>
          <t>78,750 chưa chạy lại DCF theo lộ trình mới</t>
        </is>
      </c>
      <c r="C192" s="6" t="inlineStr">
        <is>
          <t>GAP</t>
        </is>
      </c>
      <c r="D192" s="6" t="inlineStr">
        <is>
          <t>MAS</t>
        </is>
      </c>
    </row>
    <row r="193">
      <c r="A193" s="6" t="inlineStr">
        <is>
          <t>R4 Bảng cân đối</t>
        </is>
      </c>
      <c r="B193" s="6" t="inlineStr">
        <is>
          <t>vẫn chưa lập lại sau thôi hợp nhất (xem mục G14-G15)</t>
        </is>
      </c>
      <c r="C193" s="6" t="inlineStr">
        <is>
          <t>GAP</t>
        </is>
      </c>
      <c r="D193" s="6" t="inlineStr">
        <is>
          <t>MAS</t>
        </is>
      </c>
    </row>
    <row r="195">
      <c r="A195" t="inlineStr">
        <is>
          <t>FPT — DOANH THU KÝ MỚI: BẰNG CHỨNG CHO GIẢ ĐỊNH CNTT NƯỚC NGOÀI</t>
        </is>
      </c>
      <c r="B195" s="5" t="n"/>
    </row>
    <row r="196">
      <c r="A196" t="inlineStr">
        <is>
          <t>Năm</t>
        </is>
      </c>
      <c r="B196" s="5" t="inlineStr">
        <is>
          <t>Ký mới (tỷ đ)</t>
        </is>
      </c>
      <c r="C196" t="inlineStr">
        <is>
          <t>Doanh thu (tỷ đ)</t>
        </is>
      </c>
      <c r="D196" t="inlineStr">
        <is>
          <t>Ký mới/DT · tích lũy</t>
        </is>
      </c>
    </row>
    <row r="197">
      <c r="A197" s="6" t="inlineStr">
        <is>
          <t>2021</t>
        </is>
      </c>
      <c r="B197" s="6" t="inlineStr">
        <is>
          <t>15,540</t>
        </is>
      </c>
      <c r="C197" s="6" t="inlineStr">
        <is>
          <t>14,540</t>
        </is>
      </c>
      <c r="D197" s="6" t="inlineStr">
        <is>
          <t>1.069 · +1,000</t>
        </is>
      </c>
    </row>
    <row r="198">
      <c r="A198" s="6" t="inlineStr">
        <is>
          <t>2022</t>
        </is>
      </c>
      <c r="B198" s="6" t="inlineStr">
        <is>
          <t>21,590 (+38.9%)</t>
        </is>
      </c>
      <c r="C198" s="6" t="inlineStr">
        <is>
          <t>18,920 (+30.1%)</t>
        </is>
      </c>
      <c r="D198" s="6" t="inlineStr">
        <is>
          <t>1.141 · +2,670</t>
        </is>
      </c>
    </row>
    <row r="199">
      <c r="A199" s="6" t="inlineStr">
        <is>
          <t>2023</t>
        </is>
      </c>
      <c r="B199" s="6" t="inlineStr">
        <is>
          <t>29,720 (+37.7%)</t>
        </is>
      </c>
      <c r="C199" s="6" t="inlineStr">
        <is>
          <t>24,290 (+28.4%)</t>
        </is>
      </c>
      <c r="D199" s="6" t="inlineStr">
        <is>
          <t>1.224 · +5,430</t>
        </is>
      </c>
    </row>
    <row r="200">
      <c r="A200" s="6" t="inlineStr">
        <is>
          <t>2024</t>
        </is>
      </c>
      <c r="B200" s="6" t="inlineStr">
        <is>
          <t>33,590 (+13.0%)</t>
        </is>
      </c>
      <c r="C200" s="6" t="inlineStr">
        <is>
          <t>30,950 (+27.4%)</t>
        </is>
      </c>
      <c r="D200" s="6" t="inlineStr">
        <is>
          <t>1.085 · +2,640</t>
        </is>
      </c>
    </row>
    <row r="201">
      <c r="A201" s="6" t="inlineStr">
        <is>
          <t>2025</t>
        </is>
      </c>
      <c r="B201" s="6" t="inlineStr">
        <is>
          <t>40,640 (+21.0%)</t>
        </is>
      </c>
      <c r="C201" s="6" t="inlineStr">
        <is>
          <t>35,382 (+14.3%)</t>
        </is>
      </c>
      <c r="D201" s="6" t="inlineStr">
        <is>
          <t>1.149 · +5,258</t>
        </is>
      </c>
    </row>
    <row r="202">
      <c r="A202" s="6" t="inlineStr">
        <is>
          <t>1H25</t>
        </is>
      </c>
      <c r="B202" s="6" t="inlineStr">
        <is>
          <t>19,908</t>
        </is>
      </c>
      <c r="C202" s="6" t="inlineStr">
        <is>
          <t>16,668</t>
        </is>
      </c>
      <c r="D202" s="6" t="inlineStr">
        <is>
          <t>1.194 · +3,239</t>
        </is>
      </c>
    </row>
    <row r="203">
      <c r="A203" s="6" t="inlineStr">
        <is>
          <t>1H26</t>
        </is>
      </c>
      <c r="B203" s="6" t="inlineStr">
        <is>
          <t>26,338 (+32.3%)</t>
        </is>
      </c>
      <c r="C203" s="6" t="inlineStr">
        <is>
          <t>18,902 (+13.4%)</t>
        </is>
      </c>
      <c r="D203" s="6" t="inlineStr">
        <is>
          <t>1.393 · +7,436</t>
        </is>
      </c>
    </row>
    <row r="204">
      <c r="A204" s="6" t="inlineStr">
        <is>
          <t>Nguồn 2021-2025</t>
        </is>
      </c>
      <c r="B204" s="6" t="inlineStr">
        <is>
          <t>model Revenue!253-254 (dữ liệu MAS)</t>
        </is>
      </c>
      <c r="C204" s="6" t="n"/>
      <c r="D204" s="6" t="inlineStr">
        <is>
          <t>MODEL</t>
        </is>
      </c>
    </row>
    <row r="205">
      <c r="A205" s="6" t="inlineStr">
        <is>
          <t>Nguồn 1H26</t>
        </is>
      </c>
      <c r="B205" s="6" t="inlineStr">
        <is>
          <t>thông cáo FPT 16/07/2026 (CafeF, Mekong ASEAN, TNCK, Tuổi Trẻ)</t>
        </is>
      </c>
      <c r="C205" s="6" t="n"/>
      <c r="D205" s="6" t="inlineStr">
        <is>
          <t>PRESS</t>
        </is>
      </c>
    </row>
    <row r="206">
      <c r="A206" s="6" t="inlineStr">
        <is>
          <t>Đối chiếu chéo</t>
        </is>
      </c>
      <c r="B206" s="6" t="inlineStr">
        <is>
          <t>model có 4T26: 19,980 (+30.0%) — cùng quỹ đạo, chỉ cũ 2 tháng</t>
        </is>
      </c>
      <c r="C206" s="6" t="inlineStr">
        <is>
          <t>đạt</t>
        </is>
      </c>
      <c r="D206" s="6" t="inlineStr">
        <is>
          <t>CHECK</t>
        </is>
      </c>
    </row>
    <row r="207">
      <c r="A207" t="inlineStr">
        <is>
          <t>PHÁT HIỆN</t>
        </is>
      </c>
      <c r="B207" s="5" t="n"/>
    </row>
    <row r="208">
      <c r="A208" s="6" t="inlineStr">
        <is>
          <t>Ký mới đang tăng tốc</t>
        </is>
      </c>
      <c r="B208" s="6" t="inlineStr">
        <is>
          <t>+13.0% FY24 -&gt; +21.0% FY25 -&gt; +32.3% 1H26</t>
        </is>
      </c>
      <c r="C208" s="6" t="n"/>
      <c r="D208" s="6" t="inlineStr">
        <is>
          <t>DERIVED</t>
        </is>
      </c>
    </row>
    <row r="209">
      <c r="A209" s="6" t="inlineStr">
        <is>
          <t>Doanh thu đang giảm tốc</t>
        </is>
      </c>
      <c r="B209" s="6" t="inlineStr">
        <is>
          <t>+27.4% FY24 -&gt; +14.3% FY25 -&gt; +13.4% 1H26</t>
        </is>
      </c>
      <c r="C209" s="6" t="n"/>
      <c r="D209" s="6" t="inlineStr">
        <is>
          <t>DERIVED</t>
        </is>
      </c>
    </row>
    <row r="210">
      <c r="A210" s="6" t="inlineStr">
        <is>
          <t>Tỷ lệ ký mới/doanh thu 1H26</t>
        </is>
      </c>
      <c r="B210" s="6" t="inlineStr">
        <is>
          <t>1.39 lần — cao nhất chuỗi (FY21-25: 1.07-1.22)</t>
        </is>
      </c>
      <c r="C210" s="6" t="n"/>
      <c r="D210" s="6" t="inlineStr">
        <is>
          <t>DERIVED</t>
        </is>
      </c>
    </row>
    <row r="211">
      <c r="A211" s="6" t="inlineStr">
        <is>
          <t>Tích lũy nửa năm</t>
        </is>
      </c>
      <c r="B211" s="6" t="inlineStr">
        <is>
          <t>+7,436 tỷ, cao hơn cả năm FY25 (+5,258)</t>
        </is>
      </c>
      <c r="C211" s="6" t="n"/>
      <c r="D211" s="6" t="inlineStr">
        <is>
          <t>DERIVED</t>
        </is>
      </c>
    </row>
    <row r="212">
      <c r="A212" s="6" t="inlineStr">
        <is>
          <t>Dự án lớn</t>
        </is>
      </c>
      <c r="B212" s="6" t="inlineStr">
        <is>
          <t>14 dự án trên 10 triệu USD trong 1H26, +27.3% CK</t>
        </is>
      </c>
      <c r="C212" s="6" t="n"/>
      <c r="D212" s="6" t="inlineStr">
        <is>
          <t>PRESS</t>
        </is>
      </c>
    </row>
    <row r="213">
      <c r="A213" s="6" t="inlineStr">
        <is>
          <t>KẾT LUẬN</t>
        </is>
      </c>
      <c r="B213" s="6" t="inlineStr">
        <is>
          <t>giả định CNTT nước ngoài +15.5%/+16.0% có cơ sở dẫn chứng, không còn là khẳng định suông</t>
        </is>
      </c>
      <c r="C213" s="6" t="n"/>
      <c r="D213" s="6" t="inlineStr">
        <is>
          <t>ANALYST</t>
        </is>
      </c>
    </row>
    <row r="214">
      <c r="A214" s="6" t="inlineStr">
        <is>
          <t>Chiều rủi ro</t>
        </is>
      </c>
      <c r="B214" s="6" t="inlineStr">
        <is>
          <t>nếu ký mới giữ nhịp, +15.5%/+16.0% là THẬN TRỌNG, không phải mạo hiểm</t>
        </is>
      </c>
      <c r="C214" s="6" t="n"/>
      <c r="D214" s="6" t="inlineStr">
        <is>
          <t>DERIVED</t>
        </is>
      </c>
    </row>
    <row r="215">
      <c r="A215" t="inlineStr">
        <is>
          <t>CẢNH BÁO — không dùng để định lượng tốc độ tăng</t>
        </is>
      </c>
      <c r="B215" s="5" t="n"/>
    </row>
    <row r="216">
      <c r="A216" s="6" t="inlineStr">
        <is>
          <t>Hệ số chuyển đổi không ổn định</t>
        </is>
      </c>
      <c r="B216" s="6" t="inlineStr">
        <is>
          <t>DT(N+1)/ký mới(N): 1.218 -&gt; 1.125 -&gt; 1.041 -&gt; 1.053 -&gt; 0.998</t>
        </is>
      </c>
      <c r="C216" s="6" t="inlineStr">
        <is>
          <t>REJECTED</t>
        </is>
      </c>
      <c r="D216" s="6" t="inlineStr">
        <is>
          <t>DERIVED</t>
        </is>
      </c>
    </row>
    <row r="217">
      <c r="A217" s="6" t="inlineStr">
        <is>
          <t>Nguyên nhân</t>
        </is>
      </c>
      <c r="B217" s="6" t="inlineStr">
        <is>
          <t>hợp đồng ký dài hạn hơn — tích lũy tăng một phần do kỳ hạn, không chỉ do khối lượng</t>
        </is>
      </c>
      <c r="C217" s="6" t="n"/>
      <c r="D217" s="6" t="inlineStr">
        <is>
          <t>ANALYST</t>
        </is>
      </c>
    </row>
    <row r="218">
      <c r="A218" s="6" t="inlineStr">
        <is>
          <t>Tương quan ký mới(N) -&gt; DT(N+1)</t>
        </is>
      </c>
      <c r="B218" s="6" t="inlineStr">
        <is>
          <t>0.60 với n=4 — không đủ để dùng làm mô hình</t>
        </is>
      </c>
      <c r="C218" s="6" t="inlineStr">
        <is>
          <t>REJECTED</t>
        </is>
      </c>
      <c r="D218" s="6" t="inlineStr">
        <is>
          <t>DERIVED</t>
        </is>
      </c>
    </row>
    <row r="219">
      <c r="A219" s="6" t="inlineStr">
        <is>
          <t>Mức tích lũy tuyệt đối vô nghĩa</t>
        </is>
      </c>
      <c r="B219" s="6" t="inlineStr">
        <is>
          <t>phụ thuộc mốc bắt đầu cộng dồn (2021); chỉ dùng phần THAY ĐỔI</t>
        </is>
      </c>
      <c r="C219" s="6" t="n"/>
      <c r="D219" s="6" t="inlineStr">
        <is>
          <t>ANALYST</t>
        </is>
      </c>
    </row>
    <row r="220">
      <c r="A220" s="6" t="inlineStr">
        <is>
          <t>Yếu tố tỷ giá</t>
        </is>
      </c>
      <c r="B220" s="6" t="inlineStr">
        <is>
          <t>ký mới bằng JPY/USD quy đổi VND — trộn khối lượng và tỷ giá</t>
        </is>
      </c>
      <c r="C220" s="6" t="inlineStr">
        <is>
          <t>GAP</t>
        </is>
      </c>
      <c r="D220" s="6" t="inlineStr">
        <is>
          <t>ANALYST</t>
        </is>
      </c>
    </row>
    <row r="221">
      <c r="A221" s="6" t="inlineStr">
        <is>
          <t>Đã sửa trên slide</t>
        </is>
      </c>
      <c r="B221" s="6" t="inlineStr">
        <is>
          <t>đoạn phân khúc EN/VN + Stock Pick E7; KHÔNG đổi con số dự phóng</t>
        </is>
      </c>
      <c r="C221" s="6" t="n"/>
      <c r="D221" s="6" t="inlineStr">
        <is>
          <t>MAS</t>
        </is>
      </c>
    </row>
    <row r="223">
      <c r="A223" t="inlineStr">
        <is>
          <t>FPT — CHẠY LẠI DCF (chi phí nợ 9.0%)</t>
        </is>
      </c>
      <c r="B223" s="5" t="n"/>
    </row>
    <row r="224">
      <c r="A224" s="6" t="inlineStr">
        <is>
          <t>Thay đổi của analyst</t>
        </is>
      </c>
      <c r="B224" s="6" t="inlineStr">
        <is>
          <t>Valuation!C18 chi phí nợ 11.5% -&gt; 9.0%</t>
        </is>
      </c>
      <c r="C224" s="6" t="n"/>
      <c r="D224" s="6" t="inlineStr">
        <is>
          <t>ANALYST</t>
        </is>
      </c>
    </row>
    <row r="225">
      <c r="A225" s="6" t="inlineStr">
        <is>
          <t>Chi phí nợ thực tế 1H26</t>
        </is>
      </c>
      <c r="B225" s="6" t="inlineStr">
        <is>
          <t>392.0 lãi vay / 19,761 dư nợ bình quân = 3.97%</t>
        </is>
      </c>
      <c r="C225" s="6" t="n"/>
      <c r="D225" s="6" t="inlineStr">
        <is>
          <t>COMPANY</t>
        </is>
      </c>
    </row>
    <row r="226">
      <c r="A226" t="inlineStr">
        <is>
          <t>Tình trạng sheet Valuation trước khi chạy</t>
        </is>
      </c>
      <c r="B226" s="5" t="n"/>
    </row>
    <row r="227">
      <c r="A227" s="6" t="inlineStr">
        <is>
          <t>Kết quả của chính sheet</t>
        </is>
      </c>
      <c r="B227" s="6" t="inlineStr">
        <is>
          <t>106,668đ/cp — KHÔNG khớp giá mục tiêu 78,750 đã công bố</t>
        </is>
      </c>
      <c r="C227" s="6" t="inlineStr">
        <is>
          <t>REJECTED</t>
        </is>
      </c>
      <c r="D227" s="6" t="inlineStr">
        <is>
          <t>MODEL</t>
        </is>
      </c>
    </row>
    <row r="228">
      <c r="A228" s="6" t="inlineStr">
        <is>
          <t>Nợ ròng dùng cột FY24</t>
        </is>
      </c>
      <c r="B228" s="6" t="inlineStr">
        <is>
          <t>BS!O6/O7/O50/O53 — phải là FY26F</t>
        </is>
      </c>
      <c r="C228" s="6" t="inlineStr">
        <is>
          <t>REJECTED</t>
        </is>
      </c>
      <c r="D228" s="6" t="inlineStr">
        <is>
          <t>MODEL</t>
        </is>
      </c>
    </row>
    <row r="229">
      <c r="A229" s="6" t="inlineStr">
        <is>
          <t xml:space="preserve">  tiền ròng dùng 16,153</t>
        </is>
      </c>
      <c r="B229" s="6" t="inlineStr">
        <is>
          <t>thực tế 30/06/26 là 10,523</t>
        </is>
      </c>
      <c r="C229" s="6" t="inlineStr">
        <is>
          <t>REJECTED</t>
        </is>
      </c>
      <c r="D229" s="6" t="inlineStr">
        <is>
          <t>COMPANY</t>
        </is>
      </c>
    </row>
    <row r="230">
      <c r="A230" s="6" t="inlineStr">
        <is>
          <t>Capex FY26F dương +349</t>
        </is>
      </c>
      <c r="B230" s="6" t="inlineStr">
        <is>
          <t>tức là bán tài sản ròng — vô lý</t>
        </is>
      </c>
      <c r="C230" s="6" t="inlineStr">
        <is>
          <t>REJECTED</t>
        </is>
      </c>
      <c r="D230" s="6" t="inlineStr">
        <is>
          <t>MODEL</t>
        </is>
      </c>
    </row>
    <row r="231">
      <c r="A231" s="6" t="inlineStr">
        <is>
          <t>Terminal g cache 2.5%</t>
        </is>
      </c>
      <c r="B231" s="6" t="inlineStr">
        <is>
          <t>ô nhập C7 = 1.5%</t>
        </is>
      </c>
      <c r="C231" s="6" t="inlineStr">
        <is>
          <t>REJECTED</t>
        </is>
      </c>
      <c r="D231" s="6" t="inlineStr">
        <is>
          <t>MODEL</t>
        </is>
      </c>
    </row>
    <row r="232">
      <c r="A232" s="6" t="inlineStr">
        <is>
          <t>Phần FCFE</t>
        </is>
      </c>
      <c r="B232" s="6" t="inlineStr">
        <is>
          <t>toàn bộ #REF!</t>
        </is>
      </c>
      <c r="C232" s="6" t="inlineStr">
        <is>
          <t>REJECTED</t>
        </is>
      </c>
      <c r="D232" s="6" t="inlineStr">
        <is>
          <t>MODEL</t>
        </is>
      </c>
    </row>
    <row r="233">
      <c r="A233" s="6" t="inlineStr">
        <is>
          <t>KẾT LUẬN</t>
        </is>
      </c>
      <c r="B233" s="6" t="inlineStr">
        <is>
          <t>không thể "chạy lại" — phải dựng lại</t>
        </is>
      </c>
      <c r="C233" s="6" t="n"/>
      <c r="D233" s="6" t="inlineStr">
        <is>
          <t>ANALYST</t>
        </is>
      </c>
    </row>
    <row r="234">
      <c r="A234" t="inlineStr">
        <is>
          <t>Cấu trúc dựng lại — tổng của các phần</t>
        </is>
      </c>
      <c r="B234" s="5" t="n"/>
    </row>
    <row r="235">
      <c r="A235" s="6" t="inlineStr">
        <is>
          <t>Ngày định giá</t>
        </is>
      </c>
      <c r="B235" s="6" t="inlineStr">
        <is>
          <t>30/06/2026 (theo BCTC đã nộp)</t>
        </is>
      </c>
      <c r="C235" s="6" t="n"/>
      <c r="D235" s="6" t="inlineStr">
        <is>
          <t>COMPANY</t>
        </is>
      </c>
    </row>
    <row r="236">
      <c r="A236" s="6">
        <f> PV(FCFF hoạt động lõi) + LK + tiền ròng</f>
        <v/>
      </c>
      <c r="B236" s="6" t="inlineStr">
        <is>
          <t>đúng cấu trúc sau khi FOX thành liên kết</t>
        </is>
      </c>
      <c r="C236" s="6" t="n"/>
      <c r="D236" s="6" t="inlineStr">
        <is>
          <t>ANALYST</t>
        </is>
      </c>
    </row>
    <row r="237">
      <c r="A237" s="6" t="inlineStr">
        <is>
          <t>EBIT lõi FY26-28F</t>
        </is>
      </c>
      <c r="B237" s="6" t="inlineStr">
        <is>
          <t>8,475 / 9,626 / 11,117</t>
        </is>
      </c>
      <c r="C237" s="6" t="inlineStr">
        <is>
          <t>từ P&amp;L đã dựng lại</t>
        </is>
      </c>
      <c r="D237" s="6" t="inlineStr">
        <is>
          <t>MAS</t>
        </is>
      </c>
    </row>
    <row r="238">
      <c r="A238" s="6" t="inlineStr">
        <is>
          <t>Thuế</t>
        </is>
      </c>
      <c r="B238" s="6" t="inlineStr">
        <is>
          <t>15.55%</t>
        </is>
      </c>
      <c r="C238" s="6" t="inlineStr">
        <is>
          <t>1H26 thực tế</t>
        </is>
      </c>
      <c r="D238" s="6" t="inlineStr">
        <is>
          <t>COMPANY</t>
        </is>
      </c>
    </row>
    <row r="239">
      <c r="A239" s="6" t="inlineStr">
        <is>
          <t>Tiền ròng</t>
        </is>
      </c>
      <c r="B239" s="6" t="inlineStr">
        <is>
          <t>10,523</t>
        </is>
      </c>
      <c r="C239" s="6" t="inlineStr">
        <is>
          <t>30/06/2026 đã nộp</t>
        </is>
      </c>
      <c r="D239" s="6" t="inlineStr">
        <is>
          <t>COMPANY</t>
        </is>
      </c>
    </row>
    <row r="240">
      <c r="A240" s="6" t="inlineStr">
        <is>
          <t>Công ty liên kết</t>
        </is>
      </c>
      <c r="B240" s="6" t="inlineStr">
        <is>
          <t>9,995 theo giá trị ghi sổ</t>
        </is>
      </c>
      <c r="C240" s="6" t="inlineStr">
        <is>
          <t>30/06/2026, TM 17</t>
        </is>
      </c>
      <c r="D240" s="6" t="inlineStr">
        <is>
          <t>COMPANY</t>
        </is>
      </c>
    </row>
    <row r="241">
      <c r="A241" s="6" t="inlineStr">
        <is>
          <t>Số cổ phiếu</t>
        </is>
      </c>
      <c r="B241" s="6" t="inlineStr">
        <is>
          <t>1,703,507,121</t>
        </is>
      </c>
      <c r="C241" s="6" t="inlineStr">
        <is>
          <t>TM 24</t>
        </is>
      </c>
      <c r="D241" s="6" t="inlineStr">
        <is>
          <t>COMPANY</t>
        </is>
      </c>
    </row>
    <row r="242">
      <c r="A242" s="6" t="inlineStr">
        <is>
          <t>Chi phí vốn CSH</t>
        </is>
      </c>
      <c r="B242" s="6" t="inlineStr">
        <is>
          <t>13.27% (Rf 4.3% + ERP 8.966%)</t>
        </is>
      </c>
      <c r="C242" s="6" t="n"/>
      <c r="D242" s="6" t="inlineStr">
        <is>
          <t>MAS</t>
        </is>
      </c>
    </row>
    <row r="243">
      <c r="A243" s="6" t="inlineStr">
        <is>
          <t>Trọng số</t>
        </is>
      </c>
      <c r="B243" s="6" t="inlineStr">
        <is>
          <t>VCSH sổ sách 68.4% / nợ 31.6%</t>
        </is>
      </c>
      <c r="C243" s="6" t="inlineStr">
        <is>
          <t>theo quy ước của model</t>
        </is>
      </c>
      <c r="D243" s="6" t="inlineStr">
        <is>
          <t>MAS</t>
        </is>
      </c>
    </row>
    <row r="244">
      <c r="A244" s="6" t="inlineStr">
        <is>
          <t>WACC</t>
        </is>
      </c>
      <c r="B244" s="6" t="inlineStr">
        <is>
          <t>11.47% (từ 12.14%)</t>
        </is>
      </c>
      <c r="C244" s="6" t="n"/>
      <c r="D244" s="6" t="inlineStr">
        <is>
          <t>DERIVED</t>
        </is>
      </c>
    </row>
    <row r="245">
      <c r="A245" s="6" t="inlineStr">
        <is>
          <t>Terminal g</t>
        </is>
      </c>
      <c r="B245" s="6" t="inlineStr">
        <is>
          <t>1.5%</t>
        </is>
      </c>
      <c r="C245" s="6" t="n"/>
      <c r="D245" s="6" t="inlineStr">
        <is>
          <t>MAS</t>
        </is>
      </c>
    </row>
    <row r="246">
      <c r="A246" s="6" t="inlineStr">
        <is>
          <t>ƯỚC LƯỢNG — không có nguồn</t>
        </is>
      </c>
      <c r="B246" s="6" t="inlineStr">
        <is>
          <t>capex 5.0% DT · KH 4.0% DT · vốn lưu động 12% mức tăng DT</t>
        </is>
      </c>
      <c r="C246" s="6" t="inlineStr">
        <is>
          <t>GAP</t>
        </is>
      </c>
      <c r="D246" s="6" t="inlineStr">
        <is>
          <t>ANALYST</t>
        </is>
      </c>
    </row>
    <row r="247">
      <c r="A247" s="6" t="inlineStr">
        <is>
          <t>Lý do phải ước lượng</t>
        </is>
      </c>
      <c r="B247" s="6" t="inlineStr">
        <is>
          <t>BS!229-245 vẫn còn FPT Telecom; BCTC quý không có LCTT</t>
        </is>
      </c>
      <c r="C247" s="6" t="n"/>
      <c r="D247" s="6" t="inlineStr">
        <is>
          <t>ANALYST</t>
        </is>
      </c>
    </row>
    <row r="248">
      <c r="A248" t="inlineStr">
        <is>
          <t>Kết quả</t>
        </is>
      </c>
      <c r="B248" s="5" t="n"/>
    </row>
    <row r="249">
      <c r="A249" s="6" t="inlineStr">
        <is>
          <t>PV dòng tiền 2H26-FY28F</t>
        </is>
      </c>
      <c r="B249" s="6" t="inlineStr">
        <is>
          <t>15,037</t>
        </is>
      </c>
      <c r="C249" s="6" t="n"/>
      <c r="D249" s="6" t="inlineStr">
        <is>
          <t>DERIVED</t>
        </is>
      </c>
    </row>
    <row r="250">
      <c r="A250" s="6" t="inlineStr">
        <is>
          <t>PV giá trị cuối</t>
        </is>
      </c>
      <c r="B250" s="6" t="inlineStr">
        <is>
          <t>61,765 (80% EV)</t>
        </is>
      </c>
      <c r="C250" s="6" t="n"/>
      <c r="D250" s="6" t="inlineStr">
        <is>
          <t>DERIVED</t>
        </is>
      </c>
    </row>
    <row r="251">
      <c r="A251" s="6" t="inlineStr">
        <is>
          <t>Giá trị vốn CSH</t>
        </is>
      </c>
      <c r="B251" s="6" t="inlineStr">
        <is>
          <t>97,319</t>
        </is>
      </c>
      <c r="C251" s="6" t="n"/>
      <c r="D251" s="6" t="inlineStr">
        <is>
          <t>DERIVED</t>
        </is>
      </c>
    </row>
    <row r="252">
      <c r="A252" s="6" t="inlineStr">
        <is>
          <t>GIÁ TRỊ MỖI CỔ PHẦN</t>
        </is>
      </c>
      <c r="B252" s="6" t="inlineStr">
        <is>
          <t>57,129 đ</t>
        </is>
      </c>
      <c r="C252" s="6" t="n"/>
      <c r="D252" s="6" t="inlineStr">
        <is>
          <t>DERIVED</t>
        </is>
      </c>
    </row>
    <row r="253">
      <c r="A253" s="6" t="inlineStr">
        <is>
          <t>So với thị giá 62,900</t>
        </is>
      </c>
      <c r="B253" s="6" t="inlineStr">
        <is>
          <t>-9.2%</t>
        </is>
      </c>
      <c r="C253" s="6" t="n"/>
      <c r="D253" s="6" t="inlineStr">
        <is>
          <t>DERIVED</t>
        </is>
      </c>
    </row>
    <row r="254">
      <c r="A254" s="6" t="inlineStr">
        <is>
          <t>So với GMT công bố 78,750</t>
        </is>
      </c>
      <c r="B254" s="6" t="inlineStr">
        <is>
          <t>-27.5%</t>
        </is>
      </c>
      <c r="C254" s="6" t="n"/>
      <c r="D254" s="6" t="inlineStr">
        <is>
          <t>DERIVED</t>
        </is>
      </c>
    </row>
    <row r="255">
      <c r="A255" s="6" t="inlineStr">
        <is>
          <t>Riêng thay đổi chi phí nợ</t>
        </is>
      </c>
      <c r="B255" s="6" t="inlineStr">
        <is>
          <t>+2,746đ (+5.0%) — làm TĂNG giá trị</t>
        </is>
      </c>
      <c r="C255" s="6" t="inlineStr">
        <is>
          <t>CHECK</t>
        </is>
      </c>
      <c r="D255" s="6" t="inlineStr">
        <is>
          <t>DERIVED</t>
        </is>
      </c>
    </row>
    <row r="256">
      <c r="A256" s="6" t="inlineStr">
        <is>
          <t>Khoảng nhạy capex 4.0-6.0%</t>
        </is>
      </c>
      <c r="B256" s="6" t="inlineStr">
        <is>
          <t>52,687 - 61,570 đ</t>
        </is>
      </c>
      <c r="C256" s="6" t="n"/>
      <c r="D256" s="6" t="inlineStr">
        <is>
          <t>DERIVED</t>
        </is>
      </c>
    </row>
    <row r="257">
      <c r="A257" s="6" t="inlineStr">
        <is>
          <t>Khoảng nhạy WACC ±1%, g 0.5-2.5%</t>
        </is>
      </c>
      <c r="B257" s="6" t="inlineStr">
        <is>
          <t>50,148 - 67,603 đ</t>
        </is>
      </c>
      <c r="C257" s="6" t="n"/>
      <c r="D257" s="6" t="inlineStr">
        <is>
          <t>DERIVED</t>
        </is>
      </c>
    </row>
    <row r="258">
      <c r="A258" s="6" t="inlineStr">
        <is>
          <t>LK theo thị giá 1.0x-2.5x sổ sách</t>
        </is>
      </c>
      <c r="B258" s="6" t="inlineStr">
        <is>
          <t>57,129 - 65,929 đ</t>
        </is>
      </c>
      <c r="C258" s="6" t="inlineStr">
        <is>
          <t>FOX/FRT/FOC đều niêm yết</t>
        </is>
      </c>
      <c r="D258" s="6" t="inlineStr">
        <is>
          <t>GAP</t>
        </is>
      </c>
    </row>
    <row r="259">
      <c r="A259" t="inlineStr">
        <is>
          <t>HÀM Ý — CHƯA THỰC HIỆN</t>
        </is>
      </c>
      <c r="B259" s="5" t="n"/>
    </row>
    <row r="260">
      <c r="A260" s="6" t="inlineStr">
        <is>
          <t>GMT 78,750 hiện tại</t>
        </is>
      </c>
      <c r="B260" s="6" t="inlineStr">
        <is>
          <t>không có chỗ nào trong file tái lập được con số này</t>
        </is>
      </c>
      <c r="C260" s="6" t="inlineStr">
        <is>
          <t>GAP</t>
        </is>
      </c>
      <c r="D260" s="6" t="inlineStr">
        <is>
          <t>ANALYST</t>
        </is>
      </c>
    </row>
    <row r="261">
      <c r="A261" s="6" t="inlineStr">
        <is>
          <t>Nếu lấy 57,129</t>
        </is>
      </c>
      <c r="B261" s="6" t="inlineStr">
        <is>
          <t>thấp hơn thị giá -&gt; khuyến nghị chuyển từ MUA sang NẮM GIỮ/BÁN</t>
        </is>
      </c>
      <c r="C261" s="6" t="inlineStr">
        <is>
          <t>GAP</t>
        </is>
      </c>
      <c r="D261" s="6" t="inlineStr">
        <is>
          <t>ANALYST</t>
        </is>
      </c>
    </row>
    <row r="262">
      <c r="A262" s="6" t="inlineStr">
        <is>
          <t>Chưa cascade</t>
        </is>
      </c>
      <c r="B262" s="6" t="inlineStr">
        <is>
          <t>giá mục tiêu và khuyến nghị trên slide GIỮ NGUYÊN chờ quyết định</t>
        </is>
      </c>
      <c r="C262" s="6" t="n"/>
      <c r="D262" s="6" t="inlineStr">
        <is>
          <t>MAS</t>
        </is>
      </c>
    </row>
    <row r="263">
      <c r="A263" s="6" t="inlineStr">
        <is>
          <t>Việc cần làm trước</t>
        </is>
      </c>
      <c r="B263" s="6" t="inlineStr">
        <is>
          <t>(1) lập lại BS (2) định giá LK theo thị giá (3) chốt capex</t>
        </is>
      </c>
      <c r="C263" s="6" t="n"/>
      <c r="D263" s="6" t="inlineStr">
        <is>
          <t>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2026-08-03T06:59:45Z</dcterms:modified>
</cp:coreProperties>
</file>