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H26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-"/>
    <numFmt numFmtId="165" formatCode="0.0%;(0.0%);-"/>
  </numFmts>
  <fonts count="7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sz val="9"/>
    </font>
    <font>
      <name val="Arial"/>
      <b val="1"/>
      <sz val="10"/>
    </font>
    <font>
      <name val="Arial"/>
      <b val="1"/>
      <sz val="11"/>
    </font>
    <font>
      <name val="Arial"/>
      <color rgb="000000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0" pivotButton="0" quotePrefix="0" xfId="0"/>
    <xf numFmtId="0" fontId="3" fillId="0" borderId="0" pivotButton="0" quotePrefix="0" xfId="0"/>
    <xf numFmtId="164" fontId="5" fillId="0" borderId="0" pivotButton="0" quotePrefix="0" xfId="0"/>
    <xf numFmtId="165" fontId="5" fillId="0" borderId="0" pivotButton="0" quotePrefix="0" xfId="0"/>
    <xf numFmtId="164" fontId="6" fillId="0" borderId="0" pivotButton="0" quotePrefix="0" xfId="0"/>
    <xf numFmtId="165" fontId="6" fillId="0" borderId="0" pivotButton="0" quotePrefix="0" xfId="0"/>
    <xf numFmtId="0" fontId="6" fillId="0" borderId="0" applyAlignment="1" pivotButton="0" quotePrefix="0" xfId="0">
      <alignment vertical="top" wrapText="1"/>
    </xf>
    <xf numFmtId="0" fontId="6" fillId="0" borderId="0" pivotButton="0" quotePrefix="0" xfId="0"/>
    <xf numFmtId="165" fontId="5" fillId="3" borderId="0" pivotButton="0" quotePrefix="0" xfId="0"/>
    <xf numFmtId="164" fontId="5" fillId="3" borderId="0" pivotButton="0" quotePrefix="0" xfId="0"/>
    <xf numFmtId="0" fontId="5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MAS Research</author>
  </authors>
  <commentList>
    <comment ref="B8" authorId="0" shapeId="0">
      <text>
        <t>FPT 1H26 release — CafeF/Mekong ASEAN 16/07/26</t>
      </text>
    </comment>
    <comment ref="C8" authorId="0" shapeId="0">
      <text>
        <t>Reported YoY growth (restated comparative)</t>
      </text>
    </comment>
    <comment ref="G8" authorId="0" shapeId="0">
      <text>
        <t>FPT FY2026 plan (new basis) — CafeF 16/07/26</t>
      </text>
    </comment>
    <comment ref="I8" authorId="0" shapeId="0">
      <text>
        <t>MAS FY26F — FPT_2Q26_min_final.xlsx (Report/Scenarios) / Aug26 TP sheet</t>
      </text>
    </comment>
    <comment ref="C9" authorId="0" shapeId="0">
      <text>
        <t>Reported YoY growth (restated comparative)</t>
      </text>
    </comment>
    <comment ref="E9" authorId="0" shapeId="0">
      <text>
        <t>FY25 (basis-invariant segment / restated)</t>
      </text>
    </comment>
    <comment ref="I9" authorId="0" shapeId="0">
      <text>
        <t>MAS FY26F — FPT_2Q26_min_final.xlsx (Report/Scenarios) / Aug26 TP sheet</t>
      </text>
    </comment>
    <comment ref="C10" authorId="0" shapeId="0">
      <text>
        <t>Reported YoY growth (restated comparative)</t>
      </text>
    </comment>
    <comment ref="E10" authorId="0" shapeId="0">
      <text>
        <t>FY25 (basis-invariant segment / restated)</t>
      </text>
    </comment>
    <comment ref="I10" authorId="0" shapeId="0">
      <text>
        <t>MAS FY26F — FPT_2Q26_min_final.xlsx (Report/Scenarios) / Aug26 TP sheet</t>
      </text>
    </comment>
    <comment ref="C11" authorId="0" shapeId="0">
      <text>
        <t>Reported YoY growth (restated comparative)</t>
      </text>
    </comment>
    <comment ref="E11" authorId="0" shapeId="0">
      <text>
        <t>FY25 (basis-invariant segment / restated)</t>
      </text>
    </comment>
    <comment ref="I11" authorId="0" shapeId="0">
      <text>
        <t>MAS FY26F — FPT_2Q26_min_final.xlsx (Report/Scenarios) / Aug26 TP sheet</t>
      </text>
    </comment>
    <comment ref="C12" authorId="0" shapeId="0">
      <text>
        <t>Reported YoY growth (restated comparative)</t>
      </text>
    </comment>
    <comment ref="E12" authorId="0" shapeId="0">
      <text>
        <t>FY25 (basis-invariant segment / restated)</t>
      </text>
    </comment>
    <comment ref="I12" authorId="0" shapeId="0">
      <text>
        <t>MAS FY26F — FPT_2Q26_min_final.xlsx (Report/Scenarios) / Aug26 TP sheet</t>
      </text>
    </comment>
    <comment ref="C15" authorId="0" shapeId="0">
      <text>
        <t>Reported YoY growth (restated comparative)</t>
      </text>
    </comment>
    <comment ref="G15" authorId="0" shapeId="0">
      <text>
        <t>FPT FY2026 plan (new basis) — CafeF 16/07/26</t>
      </text>
    </comment>
    <comment ref="I15" authorId="0" shapeId="0">
      <text>
        <t>MAS FY26F — FPT_2Q26_min_final.xlsx (Report/Scenarios) / Aug26 TP sheet</t>
      </text>
    </comment>
    <comment ref="P15" authorId="0" shapeId="0">
      <text>
        <t>ASSUMPTION: FPT plan PBT 11,629 stated as +15% YoY → implies restated FY25 PBT ~10,112. Pin down from FPT's restated FY25 disclosure.</t>
      </text>
    </comment>
    <comment ref="C16" authorId="0" shapeId="0">
      <text>
        <t>Reported YoY growth (restated comparative)</t>
      </text>
    </comment>
    <comment ref="G16" authorId="0" shapeId="0">
      <text>
        <t>FPT FY2026 plan (new basis) — CafeF 16/07/26</t>
      </text>
    </comment>
    <comment ref="I16" authorId="0" shapeId="0">
      <text>
        <t>MAS FY26F — FPT_2Q26_min_final.xlsx (Report/Scenarios) / Aug26 TP sheet</t>
      </text>
    </comment>
    <comment ref="P16" authorId="0" shapeId="0">
      <text>
        <t>ASSUMPTION: effective tax rate (model FY26F: 15.0%)</t>
      </text>
    </comment>
    <comment ref="C17" authorId="0" shapeId="0">
      <text>
        <t>Reported YoY growth (restated comparative)</t>
      </text>
    </comment>
    <comment ref="P17" authorId="0" shapeId="0">
      <text>
        <t>ASSUMPTION: minority interest, new basis (model FY26F: 162)</t>
      </text>
    </comment>
    <comment ref="C18" authorId="0" shapeId="0">
      <text>
        <t>Reported YoY growth (restated comparative)</t>
      </text>
    </comment>
    <comment ref="C19" authorId="0" shapeId="0">
      <text>
        <t>Reported YoY growth (restated comparative)</t>
      </text>
    </comment>
    <comment ref="B20" authorId="0" shapeId="0">
      <text>
        <t>Not disclosed in the 1H26 press release — pull from the 2Q26 financial statements when filed.</t>
      </text>
    </comment>
    <comment ref="I20" authorId="0" shapeId="0">
      <text>
        <t>MAS FY26F, Report!H14</t>
      </text>
    </comment>
    <comment ref="E22" authorId="0" shapeId="0">
      <text>
        <t>FY25 NPATMI 9,464 (invariant) — duplicated for scenario-B formula</t>
      </text>
    </comment>
    <comment ref="B23" authorId="0" shapeId="0">
      <text>
        <t>VnEconomy 22/04/26: 1Q26 NPATMI 2,487bn, +14.4% YoY; EPS 1,460 (+13.7%)</t>
      </text>
    </comment>
    <comment ref="B24" authorId="0" shapeId="0">
      <text>
        <t>CafeF 16/07/26: 2Q26 NPATMI 2,568bn, +14% YoY</t>
      </text>
    </comment>
    <comment ref="E25" authorId="0" shapeId="0">
      <text>
        <t>FY25 NPATMI actual (basis-invariant under equity method) — model Report!G20</t>
      </text>
    </comment>
    <comment ref="I25" authorId="0" shapeId="0">
      <text>
        <t>MAS FY26F NPATMI — Aug26 Target Price sheet (model Report!H20 says 10,693)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1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1" customWidth="1" min="8" max="8"/>
    <col width="11" customWidth="1" min="9" max="9"/>
    <col width="11" customWidth="1" min="10" max="10"/>
    <col width="13" customWidth="1" min="11" max="11"/>
    <col width="13" customWidth="1" min="12" max="12"/>
    <col width="12" customWidth="1" min="13" max="13"/>
    <col width="60" customWidth="1" min="14" max="14"/>
    <col width="4" customWidth="1" min="15" max="15"/>
    <col width="9" customWidth="1" min="16" max="16"/>
  </cols>
  <sheetData>
    <row r="1">
      <c r="A1" s="1" t="inlineStr">
        <is>
          <t>FPT — P&amp;L TRACKER: 1H26 ACTUAL vs FY26 PLAN vs MAS FORECAST (new basis: FPT Telecom at equity method)</t>
        </is>
      </c>
    </row>
    <row r="2">
      <c r="A2" s="2" t="inlineStr">
        <is>
          <t>Units: VNDbn. Blue = hardcoded input (source in cell comment) · Black = formula · Yellow = assumption to pin down · All YoY on restated (new-basis) comparatives.</t>
        </is>
      </c>
    </row>
    <row r="5">
      <c r="A5" s="3" t="inlineStr">
        <is>
          <t>Line item</t>
        </is>
      </c>
      <c r="B5" s="3" t="inlineStr">
        <is>
          <t>1H26A</t>
        </is>
      </c>
      <c r="C5" s="3" t="inlineStr">
        <is>
          <t>Rep. YoY</t>
        </is>
      </c>
      <c r="D5" s="3" t="inlineStr">
        <is>
          <t>1H25R</t>
        </is>
      </c>
      <c r="E5" s="3" t="inlineStr">
        <is>
          <t>FY25R</t>
        </is>
      </c>
      <c r="F5" s="3" t="inlineStr">
        <is>
          <t>2H25R</t>
        </is>
      </c>
      <c r="G5" s="3" t="inlineStr">
        <is>
          <t>FY26 Plan</t>
        </is>
      </c>
      <c r="H5" s="3" t="inlineStr">
        <is>
          <t>1H26 %Plan</t>
        </is>
      </c>
      <c r="I5" s="3" t="inlineStr">
        <is>
          <t>MAS FY26F</t>
        </is>
      </c>
      <c r="J5" s="3" t="inlineStr">
        <is>
          <t>1H26 %MAS</t>
        </is>
      </c>
      <c r="K5" s="3" t="inlineStr">
        <is>
          <t>Implied 2H26 (MAS)</t>
        </is>
      </c>
      <c r="L5" s="3" t="inlineStr">
        <is>
          <t>2H26 YoY needed</t>
        </is>
      </c>
      <c r="M5" s="3" t="inlineStr">
        <is>
          <t>MAS FY26F YoY</t>
        </is>
      </c>
      <c r="N5" s="3" t="inlineStr">
        <is>
          <t>Assessment</t>
        </is>
      </c>
    </row>
    <row r="7">
      <c r="A7" s="4" t="inlineStr">
        <is>
          <t>REVENUE</t>
        </is>
      </c>
    </row>
    <row r="8" ht="28" customHeight="1">
      <c r="A8" s="5" t="inlineStr">
        <is>
          <t>Total net revenue</t>
        </is>
      </c>
      <c r="B8" s="6" t="n">
        <v>26269</v>
      </c>
      <c r="C8" s="7" t="n">
        <v>0.126</v>
      </c>
      <c r="D8" s="8">
        <f>B8/(1+C8)</f>
        <v/>
      </c>
      <c r="E8" s="8">
        <f>E9+E12</f>
        <v/>
      </c>
      <c r="F8" s="8">
        <f>IF(E8&lt;&gt;"",E8-D8,"")</f>
        <v/>
      </c>
      <c r="G8" s="6" t="n">
        <v>58580</v>
      </c>
      <c r="H8" s="9">
        <f>B8/G8</f>
        <v/>
      </c>
      <c r="I8" s="6" t="n">
        <v>57195</v>
      </c>
      <c r="J8" s="9">
        <f>B8/I8</f>
        <v/>
      </c>
      <c r="K8" s="8">
        <f>I8-B8</f>
        <v/>
      </c>
      <c r="L8" s="9">
        <f>IF(F8&lt;&gt;"",K8/F8-1,"")</f>
        <v/>
      </c>
      <c r="M8" s="9">
        <f>IF(E8&lt;&gt;"",I8/E8-1,"")</f>
        <v/>
      </c>
      <c r="N8" s="10" t="inlineStr">
        <is>
          <t>On track. 2Q26 accelerated: +16.4% YoY restated (13,789 vs 11,849) after +8.7% in 1Q26.</t>
        </is>
      </c>
    </row>
    <row r="9" ht="28" customHeight="1">
      <c r="A9" s="11" t="inlineStr">
        <is>
          <t xml:space="preserve">    Technology (IT services)</t>
        </is>
      </c>
      <c r="B9" s="6" t="n">
        <v>23138</v>
      </c>
      <c r="C9" s="7" t="n">
        <v>0.15</v>
      </c>
      <c r="D9" s="8">
        <f>B9/(1+C9)</f>
        <v/>
      </c>
      <c r="E9" s="6" t="n">
        <v>44475</v>
      </c>
      <c r="F9" s="8">
        <f>IF(E9&lt;&gt;"",E9-D9,"")</f>
        <v/>
      </c>
      <c r="I9" s="6" t="n">
        <v>50756</v>
      </c>
      <c r="J9" s="9">
        <f>B9/I9</f>
        <v/>
      </c>
      <c r="K9" s="8">
        <f>I9-B9</f>
        <v/>
      </c>
      <c r="L9" s="9">
        <f>IF(F9&lt;&gt;"",K9/F9-1,"")</f>
        <v/>
      </c>
      <c r="M9" s="9">
        <f>IF(E9&lt;&gt;"",I9/E9-1,"")</f>
        <v/>
      </c>
      <c r="N9" s="10" t="inlineStr">
        <is>
          <t>2H26 needs +13.4% = same pace as 1H total tech. OK.</t>
        </is>
      </c>
    </row>
    <row r="10" ht="28" customHeight="1">
      <c r="A10" s="11" t="inlineStr">
        <is>
          <t xml:space="preserve">        Global IT (foreign)</t>
        </is>
      </c>
      <c r="B10" s="6" t="n">
        <v>18902</v>
      </c>
      <c r="C10" s="7" t="n">
        <v>0.134</v>
      </c>
      <c r="D10" s="8">
        <f>B10/(1+C10)</f>
        <v/>
      </c>
      <c r="E10" s="6" t="n">
        <v>35382</v>
      </c>
      <c r="F10" s="8">
        <f>IF(E10&lt;&gt;"",E10-D10,"")</f>
        <v/>
      </c>
      <c r="I10" s="6" t="n">
        <v>40572</v>
      </c>
      <c r="J10" s="9">
        <f>B10/I10</f>
        <v/>
      </c>
      <c r="K10" s="8">
        <f>I10-B10</f>
        <v/>
      </c>
      <c r="L10" s="9">
        <f>IF(F10&lt;&gt;"",K10/F10-1,"")</f>
        <v/>
      </c>
      <c r="M10" s="9">
        <f>IF(E10&lt;&gt;"",I10/E10-1,"")</f>
        <v/>
      </c>
      <c r="N10" s="10" t="inlineStr">
        <is>
          <t>2H26 needs +15.8% vs +13.4% run-rate — assumes AI-demand acceleration. WATCH (bookings).</t>
        </is>
      </c>
    </row>
    <row r="11" ht="28" customHeight="1">
      <c r="A11" s="11" t="inlineStr">
        <is>
          <t xml:space="preserve">        Domestic IT</t>
        </is>
      </c>
      <c r="B11" s="6" t="n">
        <v>4236</v>
      </c>
      <c r="C11" s="7" t="n">
        <v>0.225</v>
      </c>
      <c r="D11" s="8">
        <f>B11/(1+C11)</f>
        <v/>
      </c>
      <c r="E11" s="6" t="n">
        <v>9093</v>
      </c>
      <c r="F11" s="8">
        <f>IF(E11&lt;&gt;"",E11-D11,"")</f>
        <v/>
      </c>
      <c r="I11" s="6" t="n">
        <v>10184</v>
      </c>
      <c r="J11" s="9">
        <f>B11/I11</f>
        <v/>
      </c>
      <c r="K11" s="8">
        <f>I11-B11</f>
        <v/>
      </c>
      <c r="L11" s="9">
        <f>IF(F11&lt;&gt;"",K11/F11-1,"")</f>
        <v/>
      </c>
      <c r="M11" s="9">
        <f>IF(E11&lt;&gt;"",I11/E11-1,"")</f>
        <v/>
      </c>
      <c r="N11" s="10" t="inlineStr">
        <is>
          <t>2H26 needs only +5.6% vs +22.5% run-rate — conservative; 4Q-heavy segment. UPSIDE.</t>
        </is>
      </c>
    </row>
    <row r="12" ht="28" customHeight="1">
      <c r="A12" s="11" t="inlineStr">
        <is>
          <t xml:space="preserve">    Education, investment &amp; others</t>
        </is>
      </c>
      <c r="B12" s="6" t="n">
        <v>3131</v>
      </c>
      <c r="C12" s="7" t="n">
        <v>-0.021</v>
      </c>
      <c r="D12" s="8">
        <f>B12/(1+C12)</f>
        <v/>
      </c>
      <c r="E12" s="6" t="n">
        <v>6132</v>
      </c>
      <c r="F12" s="8">
        <f>IF(E12&lt;&gt;"",E12-D12,"")</f>
        <v/>
      </c>
      <c r="I12" s="6" t="n">
        <v>6439</v>
      </c>
      <c r="J12" s="9">
        <f>B12/I12</f>
        <v/>
      </c>
      <c r="K12" s="8">
        <f>I12-B12</f>
        <v/>
      </c>
      <c r="L12" s="9">
        <f>IF(F12&lt;&gt;"",K12/F12-1,"")</f>
        <v/>
      </c>
      <c r="M12" s="9">
        <f>IF(E12&lt;&gt;"",I12/E12-1,"")</f>
        <v/>
      </c>
      <c r="N12" s="10" t="inlineStr">
        <is>
          <t>FY26F assumes +5% but 1H26 fell -2.1%; implied 2H +12.7%. CUT toward flat (~6.1tn).</t>
        </is>
      </c>
    </row>
    <row r="14">
      <c r="A14" s="4" t="inlineStr">
        <is>
          <t>PROFIT</t>
        </is>
      </c>
    </row>
    <row r="15" ht="28" customHeight="1">
      <c r="A15" s="5" t="inlineStr">
        <is>
          <t>PBT — scenario A: FY25R base = plan-implied</t>
        </is>
      </c>
      <c r="B15" s="6" t="n">
        <v>5714</v>
      </c>
      <c r="C15" s="7" t="n">
        <v>0.181</v>
      </c>
      <c r="D15" s="8">
        <f>B15/(1+C15)</f>
        <v/>
      </c>
      <c r="E15" s="8">
        <f>G15/(1+P15)</f>
        <v/>
      </c>
      <c r="F15" s="8">
        <f>IF(E15&lt;&gt;"",E15-D15,"")</f>
        <v/>
      </c>
      <c r="G15" s="6" t="n">
        <v>11629</v>
      </c>
      <c r="H15" s="9">
        <f>B15/G15</f>
        <v/>
      </c>
      <c r="I15" s="6" t="n">
        <v>12770</v>
      </c>
      <c r="J15" s="9">
        <f>B15/I15</f>
        <v/>
      </c>
      <c r="K15" s="8">
        <f>I15-B15</f>
        <v/>
      </c>
      <c r="L15" s="9">
        <f>IF(F15&lt;&gt;"",K15/F15-1,"")</f>
        <v/>
      </c>
      <c r="M15" s="9">
        <f>IF(E15&lt;&gt;"",I15/E15-1,"")</f>
        <v/>
      </c>
      <c r="N15" s="10" t="inlineStr">
        <is>
          <t>If FY25R PBT ≈ 10.1tn (plan +15% logic), MAS 12,770 = +26% YoY and needs 2H +33.8% — far too high.</t>
        </is>
      </c>
      <c r="O15" s="2" t="inlineStr">
        <is>
          <t>← FY25R inferred using plan growth:</t>
        </is>
      </c>
      <c r="P15" s="12" t="n">
        <v>0.15</v>
      </c>
    </row>
    <row r="16" ht="28" customHeight="1">
      <c r="A16" s="5" t="inlineStr">
        <is>
          <t>PBT — scenario B: FY25R base = NPATMI-implied</t>
        </is>
      </c>
      <c r="B16" s="6" t="n">
        <v>5714</v>
      </c>
      <c r="C16" s="7" t="n">
        <v>0.181</v>
      </c>
      <c r="D16" s="8">
        <f>B16/(1+C16)</f>
        <v/>
      </c>
      <c r="E16" s="8">
        <f>(E22+P17)/(1-P16)</f>
        <v/>
      </c>
      <c r="F16" s="8">
        <f>IF(E16&lt;&gt;"",E16-D16,"")</f>
        <v/>
      </c>
      <c r="G16" s="6" t="n">
        <v>11629</v>
      </c>
      <c r="H16" s="9">
        <f>B16/G16</f>
        <v/>
      </c>
      <c r="I16" s="6" t="n">
        <v>12770</v>
      </c>
      <c r="J16" s="9">
        <f>B16/I16</f>
        <v/>
      </c>
      <c r="K16" s="8">
        <f>I16-B16</f>
        <v/>
      </c>
      <c r="L16" s="9">
        <f>IF(F16&lt;&gt;"",K16/F16-1,"")</f>
        <v/>
      </c>
      <c r="M16" s="9">
        <f>IF(E16&lt;&gt;"",I16/E16-1,"")</f>
        <v/>
      </c>
      <c r="N16" s="10" t="inlineStr">
        <is>
          <t>If FY25R PBT ≈ 11.3tn (backed out of invariant NPATMI 9,464 at 15% tax, MI 162), MAS = +12.8% YoY, 2H needs +8.8% — fine.</t>
        </is>
      </c>
      <c r="P16" s="12" t="n">
        <v>0.15</v>
      </c>
    </row>
    <row r="17">
      <c r="A17" s="11" t="inlineStr">
        <is>
          <t xml:space="preserve">    Technology PBT</t>
        </is>
      </c>
      <c r="B17" s="6" t="n">
        <v>3314</v>
      </c>
      <c r="C17" s="7" t="n">
        <v>0.169</v>
      </c>
      <c r="D17" s="8">
        <f>B17/(1+C17)</f>
        <v/>
      </c>
      <c r="F17" s="8">
        <f>IF(E17&lt;&gt;"",E17-D17,"")</f>
        <v/>
      </c>
      <c r="N17" s="10" t="inlineStr">
        <is>
          <t>58% of group PBT in 1H26. Model has no clean segment-PBT FY line to track against.</t>
        </is>
      </c>
      <c r="P17" s="13" t="n">
        <v>162</v>
      </c>
    </row>
    <row r="18">
      <c r="A18" s="11" t="inlineStr">
        <is>
          <t xml:space="preserve">        o/w Domestic IT PBT</t>
        </is>
      </c>
      <c r="B18" s="6" t="n">
        <v>308</v>
      </c>
      <c r="C18" s="7" t="n">
        <v>1.005</v>
      </c>
      <c r="D18" s="8">
        <f>B18/(1+C18)</f>
        <v/>
      </c>
      <c r="F18" s="8">
        <f>IF(E18&lt;&gt;"",E18-D18,"")</f>
        <v/>
      </c>
      <c r="N18" s="10" t="inlineStr">
        <is>
          <t>Doubled YoY — margin recovery in domestic IT.</t>
        </is>
      </c>
    </row>
    <row r="19">
      <c r="A19" s="11" t="inlineStr">
        <is>
          <t xml:space="preserve">    Education, investment &amp; others PBT</t>
        </is>
      </c>
      <c r="B19" s="6" t="n">
        <v>2400</v>
      </c>
      <c r="C19" s="7" t="n">
        <v>0.198</v>
      </c>
      <c r="D19" s="8">
        <f>B19/(1+C19)</f>
        <v/>
      </c>
      <c r="F19" s="8">
        <f>IF(E19&lt;&gt;"",E19-D19,"")</f>
        <v/>
      </c>
      <c r="N19" s="10" t="inlineStr">
        <is>
          <t>+19.8% despite revenue -2.1% → margin-driven; check sustainability.</t>
        </is>
      </c>
    </row>
    <row r="20" ht="28" customHeight="1">
      <c r="A20" s="11" t="inlineStr">
        <is>
          <t xml:space="preserve">    Net gain from associates (FPT Telecom + others)</t>
        </is>
      </c>
      <c r="B20" s="14" t="inlineStr">
        <is>
          <t>n.a.</t>
        </is>
      </c>
      <c r="I20" s="6" t="n">
        <v>2860</v>
      </c>
      <c r="N20" s="10" t="inlineStr">
        <is>
          <t>KEY LINE TO VERIFY: model assumes 2,860 for FY26F. FOX-stake arithmetic (~45.7% of ~VND3.5tn NPAT ≈ 1.6tn, + other associates) suggests this could be ~0.5-1.2tn too high. Each 500bn cut ≈ -4% PBT / -4.7% NPATMI.</t>
        </is>
      </c>
    </row>
    <row r="22">
      <c r="A22" s="4" t="inlineStr">
        <is>
          <t>NPATMI</t>
        </is>
      </c>
      <c r="E22" s="6" t="n">
        <v>9464</v>
      </c>
    </row>
    <row r="23">
      <c r="A23" s="11" t="inlineStr">
        <is>
          <t xml:space="preserve">    1Q26</t>
        </is>
      </c>
      <c r="B23" s="6" t="n">
        <v>2487</v>
      </c>
      <c r="C23" s="7" t="n">
        <v>0.144</v>
      </c>
      <c r="D23" s="8">
        <f>B23/(1+C23)</f>
        <v/>
      </c>
    </row>
    <row r="24">
      <c r="A24" s="11" t="inlineStr">
        <is>
          <t xml:space="preserve">    2Q26</t>
        </is>
      </c>
      <c r="B24" s="6" t="n">
        <v>2568</v>
      </c>
      <c r="C24" s="7" t="n">
        <v>0.14</v>
      </c>
      <c r="D24" s="8">
        <f>B24/(1+C24)</f>
        <v/>
      </c>
    </row>
    <row r="25" ht="28" customHeight="1">
      <c r="A25" s="5" t="inlineStr">
        <is>
          <t>NPATMI — 1H26 total</t>
        </is>
      </c>
      <c r="B25" s="8">
        <f>B23+B24</f>
        <v/>
      </c>
      <c r="C25" s="9">
        <f>B25/D25-1</f>
        <v/>
      </c>
      <c r="D25" s="8">
        <f>D23+D24</f>
        <v/>
      </c>
      <c r="E25" s="6" t="n">
        <v>9464</v>
      </c>
      <c r="F25" s="8">
        <f>E25-D25</f>
        <v/>
      </c>
      <c r="I25" s="6" t="n">
        <v>10555</v>
      </c>
      <c r="J25" s="9">
        <f>B25/I25</f>
        <v/>
      </c>
      <c r="K25" s="8">
        <f>I25-B25</f>
        <v/>
      </c>
      <c r="L25" s="9">
        <f>K25/F25-1</f>
        <v/>
      </c>
      <c r="M25" s="9">
        <f>I25/E25-1</f>
        <v/>
      </c>
      <c r="N25" s="10" t="inlineStr">
        <is>
          <t>MAS FY26F implies 2H26 NPATMI +9.2% vs 1H +14.2% — CONSERVATIVE. Room to nudge up, but not to +18% (see scenarios).</t>
        </is>
      </c>
    </row>
    <row r="27">
      <c r="A27" s="4" t="inlineStr">
        <is>
          <t>MARGINS (PBT/revenue)</t>
        </is>
      </c>
    </row>
    <row r="28">
      <c r="A28" s="11" t="inlineStr">
        <is>
          <t xml:space="preserve">    1H26 actual</t>
        </is>
      </c>
      <c r="B28" s="9">
        <f>B15/B8</f>
        <v/>
      </c>
    </row>
    <row r="29">
      <c r="A29" s="11" t="inlineStr">
        <is>
          <t xml:space="preserve">    1H25R</t>
        </is>
      </c>
      <c r="B29" s="9">
        <f>D15/D8</f>
        <v/>
      </c>
    </row>
    <row r="30">
      <c r="A30" s="11" t="inlineStr">
        <is>
          <t xml:space="preserve">    FY26 plan</t>
        </is>
      </c>
      <c r="B30" s="9">
        <f>G15/G8</f>
        <v/>
      </c>
    </row>
    <row r="31">
      <c r="A31" s="11" t="inlineStr">
        <is>
          <t xml:space="preserve">    MAS FY26F</t>
        </is>
      </c>
      <c r="B31" s="9">
        <f>I15/I8</f>
        <v/>
      </c>
      <c r="C31" s="2" t="inlineStr">
        <is>
          <t>← MAS margin +58bp above 1H26 actual and +248bp above plan; 1H26 delivered +100bp YoY. Slightly rich, not egregious.</t>
        </is>
      </c>
    </row>
    <row r="33">
      <c r="A33" s="4" t="inlineStr">
        <is>
          <t>FY26F NPATMI SCENARIOS</t>
        </is>
      </c>
    </row>
    <row r="34">
      <c r="A34" s="15" t="inlineStr">
        <is>
          <t>Scenario</t>
        </is>
      </c>
      <c r="B34" s="15" t="inlineStr">
        <is>
          <t>FY26F NPATMI</t>
        </is>
      </c>
      <c r="C34" s="15" t="inlineStr">
        <is>
          <t>YoY</t>
        </is>
      </c>
      <c r="D34" s="15" t="inlineStr">
        <is>
          <t>FY27F @ +17.5%</t>
        </is>
      </c>
      <c r="E34" s="15" t="inlineStr">
        <is>
          <t>FY27F @ +17.0%</t>
        </is>
      </c>
      <c r="N34" s="15" t="inlineStr">
        <is>
          <t>Comment</t>
        </is>
      </c>
    </row>
    <row r="35" ht="28" customHeight="1">
      <c r="A35" s="11" t="inlineStr">
        <is>
          <t>MAS current (TP sheet)</t>
        </is>
      </c>
      <c r="B35" s="6" t="n">
        <v>10555</v>
      </c>
      <c r="C35" s="9">
        <f>B35/$E$25-1</f>
        <v/>
      </c>
      <c r="D35" s="8">
        <f>B35*1.175</f>
        <v/>
      </c>
      <c r="E35" s="8">
        <f>B35*1.17</f>
        <v/>
      </c>
      <c r="N35" s="10" t="inlineStr">
        <is>
          <t>Model FY27F is 12,447 (+17.9%) — consistent with your 17-17.5% instinct.</t>
        </is>
      </c>
    </row>
    <row r="36" ht="28" customHeight="1">
      <c r="A36" s="11" t="inlineStr">
        <is>
          <t>Seasonality-implied (1H share = FY25 pattern)</t>
        </is>
      </c>
      <c r="B36" s="8">
        <f>B25/(D25/E25)</f>
        <v/>
      </c>
      <c r="C36" s="9">
        <f>B36/$E$25-1</f>
        <v/>
      </c>
      <c r="D36" s="8">
        <f>B36*1.175</f>
        <v/>
      </c>
      <c r="E36" s="8">
        <f>B36*1.17</f>
        <v/>
      </c>
      <c r="N36" s="10" t="inlineStr">
        <is>
          <t>RECOMMENDED anchor: 1H26 NPATMI 5,055 ÷ 46.8% (FY25 1H-share) ≈ 10.8tn, +14.2% — matches the 1Q (+14.4%) and 2Q (+14.0%) prints.</t>
        </is>
      </c>
    </row>
    <row r="37" ht="28" customHeight="1">
      <c r="A37" s="11" t="inlineStr">
        <is>
          <t>PBT-growth mapping (+18%) — NOT recommended</t>
        </is>
      </c>
      <c r="B37" s="8">
        <f>E25*1.18</f>
        <v/>
      </c>
      <c r="C37" s="9" t="n">
        <v>0.18</v>
      </c>
      <c r="D37" s="8">
        <f>B37*1.175</f>
        <v/>
      </c>
      <c r="E37" s="8">
        <f>B37*1.17</f>
        <v/>
      </c>
      <c r="N37" s="10" t="inlineStr">
        <is>
          <t>TRAP: PBT +18.1% does not map to NPATMI +18%. Empirically NPATMI is growing ~+14% while PBT grows +18% — the wedge is tax on consolidated ops vs post-tax associate income, plus residual MI. Both quarters confirm it.</t>
        </is>
      </c>
    </row>
    <row r="39">
      <c r="A39" s="4" t="inlineStr">
        <is>
          <t>REITERATION CHECKLIST (what to redo in the model, in order of impact)</t>
        </is>
      </c>
    </row>
    <row r="40" ht="26" customHeight="1">
      <c r="A40" s="5" t="inlineStr">
        <is>
          <t>1. HIGH</t>
        </is>
      </c>
      <c r="B40" s="5" t="inlineStr">
        <is>
          <t>Restated FY25 PBT base</t>
        </is>
      </c>
      <c r="D40" s="10" t="inlineStr">
        <is>
          <t>Pin down FPT's restated FY25 PBT from the 2Q26 FS / restated comparatives. Plan-implied ~10.1tn makes MAS PBT +26% YoY (too high); NPATMI-implied ~11.3tn makes it +12.8% (fine). Everything else keys off this.</t>
        </is>
      </c>
    </row>
    <row r="41" ht="26" customHeight="1">
      <c r="A41" s="5" t="inlineStr">
        <is>
          <t>2. HIGH</t>
        </is>
      </c>
      <c r="B41" s="5" t="inlineStr">
        <is>
          <t>Associates line (Report!H14 = 2,860)</t>
        </is>
      </c>
      <c r="D41" s="10" t="inlineStr">
        <is>
          <t>Verify 1H26 actual associate income in the FS; FOX-stake math suggests 1.6-2.3tn. Each 500bn cut ≈ -4% PBT, -4.7% NPATMI.</t>
        </is>
      </c>
    </row>
    <row r="42" ht="26" customHeight="1">
      <c r="A42" s="5" t="inlineStr">
        <is>
          <t>3. MED</t>
        </is>
      </c>
      <c r="B42" s="5" t="inlineStr">
        <is>
          <t>Education/others revenue growth (+5% FY26F)</t>
        </is>
      </c>
      <c r="D42" s="10" t="inlineStr">
        <is>
          <t>1H26 printed -2.1%; implied 2H +12.7%. Cut to ~flat (≈6.1tn): ~-300bn revenue, ~-60bn PBT.</t>
        </is>
      </c>
    </row>
    <row r="43" ht="26" customHeight="1">
      <c r="A43" s="5" t="inlineStr">
        <is>
          <t>4. MED</t>
        </is>
      </c>
      <c r="B43" s="5" t="inlineStr">
        <is>
          <t>Global IT 2H acceleration (FY26F +14.7%)</t>
        </is>
      </c>
      <c r="D43" s="10" t="inlineStr">
        <is>
          <t>Implied 2H +15.8% vs +13.4% run-rate. Plausible on AI ramp; track quarterly bookings before conceding.</t>
        </is>
      </c>
    </row>
    <row r="44" ht="26" customHeight="1">
      <c r="A44" s="5" t="inlineStr">
        <is>
          <t>5. LOW</t>
        </is>
      </c>
      <c r="B44" s="5" t="inlineStr">
        <is>
          <t>Domestic IT (FY26F +12%)</t>
        </is>
      </c>
      <c r="D44" s="10" t="inlineStr">
        <is>
          <t>Implied 2H only +5.6% vs +22.5% run-rate; 4Q-heavy seasonality. Likely upside — could offset the education cut.</t>
        </is>
      </c>
    </row>
    <row r="45" ht="26" customHeight="1">
      <c r="A45" s="5" t="inlineStr">
        <is>
          <t>6. —</t>
        </is>
      </c>
      <c r="B45" s="5" t="inlineStr">
        <is>
          <t>NPATMI landing zone</t>
        </is>
      </c>
      <c r="D45" s="10" t="inlineStr">
        <is>
          <t>Raise FY26F NPATMI toward ~10.8tn (+14%) rather than +18%. FY27F at +17-17.5% on that base → 12.6-12.7tn (vs model 12,447), EPS ~7.0k.</t>
        </is>
      </c>
    </row>
  </sheetData>
  <mergeCells count="6">
    <mergeCell ref="D45:N45"/>
    <mergeCell ref="D44:N44"/>
    <mergeCell ref="D43:N43"/>
    <mergeCell ref="D42:N42"/>
    <mergeCell ref="D40:N40"/>
    <mergeCell ref="D41:N4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2026-07-27T07:39:03Z</dcterms:created>
  <dcterms:modified xmlns:dcterms="http://purl.org/dc/terms/" xmlns:xsi="http://www.w3.org/2001/XMLSchema-instance" xsi:type="dcterms:W3CDTF">2026-07-27T07:39:03Z</dcterms:modified>
</cp:coreProperties>
</file>